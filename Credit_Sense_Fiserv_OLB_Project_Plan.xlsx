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66ba86eafd4a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9acebb8b632484e"/>
    <x:sheet xmlns:r="http://schemas.openxmlformats.org/officeDocument/2006/relationships" name="Weekly Action View" sheetId="2" r:id="R39199c87a501430d"/>
    <x:sheet xmlns:r="http://schemas.openxmlformats.org/officeDocument/2006/relationships" name="Master Plan" sheetId="3" r:id="R0374ec8cbc9a489d"/>
    <x:sheet xmlns:r="http://schemas.openxmlformats.org/officeDocument/2006/relationships" name="Milestones &amp; Gates" sheetId="4" r:id="R453032d3aa6b4ac8"/>
    <x:sheet xmlns:r="http://schemas.openxmlformats.org/officeDocument/2006/relationships" name="Timeline" sheetId="5" r:id="Rf43ddd3270794b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;;;"/>
    <x:numFmt numFmtId="202" formatCode="@"/>
    <x:numFmt numFmtId="203" formatCode="&quot;Week &quot;0"/>
    <x:numFmt numFmtId="204" formatCode="0%"/>
    <x:numFmt numFmtId="205" formatCode="&quot;W&quot;0"/>
  </x:numFmts>
  <x:fonts count="16">
    <x:font>
      <x:sz val="11"/>
      <x:name val="Carlito"/>
    </x:font>
    <x:font>
      <x:b/>
      <x:sz val="15"/>
      <x:color rgb="FF17365D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sz val="10"/>
      <x:color rgb="FF243447"/>
      <x:name val="Arial"/>
    </x:font>
    <x:font>
      <x:b/>
      <x:sz val="10"/>
      <x:color rgb="FF243447"/>
      <x:name val="Arial"/>
    </x:font>
    <x:font>
      <x:b/>
      <x:sz val="14"/>
      <x:color rgb="FF17365D"/>
      <x:name val="Arial"/>
    </x:font>
    <x:font>
      <x:b/>
      <x:sz val="10"/>
      <x:color rgb="FF17365D"/>
      <x:name val="Arial"/>
    </x:font>
    <x:font>
      <x:sz val="9"/>
      <x:color rgb="FF243447"/>
      <x:name val="Arial"/>
    </x:font>
    <x:font>
      <x:b/>
      <x:sz val="9"/>
      <x:color rgb="FF17365D"/>
      <x:name val="Arial"/>
    </x:font>
    <x:font>
      <x:b/>
      <x:sz val="9"/>
      <x:color rgb="FF7F6000"/>
      <x:name val="Arial"/>
    </x:font>
    <x:font>
      <x:b/>
      <x:sz val="9"/>
      <x:color rgb="FF667085"/>
      <x:name val="Arial"/>
    </x:font>
    <x:font>
      <x:i/>
      <x:sz val="9"/>
      <x:color rgb="FF667085"/>
      <x:name val="Arial"/>
    </x:font>
    <x:font>
      <x:b/>
      <x:sz val="12"/>
      <x:color rgb="FF17365D"/>
      <x:name val="Arial"/>
    </x:font>
    <x:font>
      <x:b/>
      <x:sz val="11"/>
      <x:color rgb="FF17365D"/>
      <x:name val="Arial"/>
    </x:font>
    <x:font>
      <x:b/>
      <x:sz val="11"/>
      <x:color rgb="FF7F600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9E6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F2F4F7"/>
      </x:patternFill>
    </x:fill>
    <x:fill>
      <x:patternFill patternType="solid">
        <x:fgColor rgb="FFD9EAF7"/>
      </x:patternFill>
    </x:fill>
  </x:fills>
  <x:borders count="7">
    <x:border/>
    <x:border>
      <x:bottom style="medium">
        <x:color rgb="FF2F75B5"/>
      </x:bottom>
    </x:border>
    <x:border>
      <x:bottom style="medium">
        <x:color rgb="FF17365D"/>
      </x:bottom>
    </x:border>
    <x:border>
      <x:top style="thin">
        <x:color rgb="FFD6A84B"/>
      </x:top>
    </x:border>
    <x:border>
      <x:bottom style="thin">
        <x:color rgb="FFD0D5DD"/>
      </x:bottom>
    </x:border>
    <x:border>
      <x:bottom style="thin">
        <x:color rgb="FF2F75B5"/>
      </x:bottom>
    </x:border>
    <x:border>
      <x:bottom style="thin">
        <x:color rgb="FFD6A84B"/>
      </x:bottom>
    </x:border>
  </x:borders>
  <x:cellStyleXfs count="1">
    <x:xf numFmtId="0" fontId="0" fillId="0" borderId="0"/>
  </x:cellStyleXfs>
  <x:cellXfs count="152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2" fontId="4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 wrapText="0"/>
    </x:xf>
    <x:xf numFmtId="200" fontId="4" fillId="0" borderId="0" xfId="0" applyNumberFormat="1" applyFont="1" applyFill="1" applyBorder="1" applyAlignment="1">
      <x:alignment horizontal="center" vertical="center" wrapText="0"/>
    </x:xf>
    <x:xf numFmtId="0" fontId="4" fillId="0" borderId="0" xfId="0" applyNumberFormat="1" applyFont="1" applyFill="1" applyBorder="1" applyAlignment="1">
      <x:alignment horizontal="center" vertical="center" wrapText="0"/>
    </x:xf>
    <x:xf numFmtId="0" fontId="4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202" fontId="4" fillId="4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vertical="center" wrapText="0"/>
    </x:xf>
    <x:xf numFmtId="200" fontId="4" fillId="4" borderId="0" xfId="0" applyNumberFormat="1" applyFont="1" applyFill="1" applyBorder="1" applyAlignment="1">
      <x:alignment horizontal="center" vertical="center" wrapText="0"/>
    </x:xf>
    <x:xf numFmtId="0" fontId="4" fillId="4" borderId="0" xfId="0" applyNumberFormat="1" applyFont="1" applyFill="1" applyBorder="1" applyAlignment="1">
      <x:alignment horizontal="center" vertical="center" wrapText="0"/>
    </x:xf>
    <x:xf numFmtId="0" fontId="4" fillId="4" borderId="0" xfId="0" applyNumberFormat="1" applyFont="1" applyFill="1" applyBorder="1" applyAlignment="1">
      <x:alignment vertical="center" wrapText="1"/>
    </x:xf>
    <x:xf numFmtId="200" fontId="4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202" fontId="5" fillId="4" borderId="0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vertical="center" wrapText="0"/>
    </x:xf>
    <x:xf numFmtId="200" fontId="5" fillId="4" borderId="0" xfId="0" applyNumberFormat="1" applyFont="1" applyFill="1" applyBorder="1" applyAlignment="1">
      <x:alignment horizontal="center" vertical="center" wrapText="0"/>
    </x:xf>
    <x:xf numFmtId="0" fontId="5" fillId="4" borderId="0" xfId="0" applyNumberFormat="1" applyFont="1" applyFill="1" applyBorder="1" applyAlignment="1">
      <x:alignment horizontal="center" vertical="center" wrapText="0"/>
    </x:xf>
    <x:xf numFmtId="0" fontId="5" fillId="4" borderId="0" xfId="0" applyNumberFormat="1" applyFont="1" applyFill="1" applyBorder="1" applyAlignment="1">
      <x:alignment vertical="center" wrapText="1"/>
    </x:xf>
    <x:xf numFmtId="200" fontId="5" fillId="4" borderId="0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202" fontId="5" fillId="4" borderId="3" xfId="0" applyNumberFormat="1" applyFont="1" applyFill="1" applyBorder="1" applyAlignment="1">
      <x:alignment horizontal="center" vertical="center"/>
    </x:xf>
    <x:xf numFmtId="0" fontId="5" fillId="4" borderId="3" xfId="0" applyNumberFormat="1" applyFont="1" applyFill="1" applyBorder="1" applyAlignment="1">
      <x:alignment vertical="center" wrapText="0"/>
    </x:xf>
    <x:xf numFmtId="200" fontId="5" fillId="4" borderId="3" xfId="0" applyNumberFormat="1" applyFont="1" applyFill="1" applyBorder="1" applyAlignment="1">
      <x:alignment horizontal="center" vertical="center" wrapText="0"/>
    </x:xf>
    <x:xf numFmtId="0" fontId="5" fillId="4" borderId="3" xfId="0" applyNumberFormat="1" applyFont="1" applyFill="1" applyBorder="1" applyAlignment="1">
      <x:alignment horizontal="center" vertical="center" wrapText="0"/>
    </x:xf>
    <x:xf numFmtId="0" fontId="5" fillId="4" borderId="3" xfId="0" applyNumberFormat="1" applyFont="1" applyFill="1" applyBorder="1" applyAlignment="1">
      <x:alignment vertical="center" wrapText="1"/>
    </x:xf>
    <x:xf numFmtId="200" fontId="5" fillId="4" borderId="3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4" fillId="0" borderId="4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3" fontId="4" fillId="0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204" fontId="6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4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horizontal="center"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horizontal="center" vertical="center"/>
    </x:xf>
    <x:xf numFmtId="0" fontId="7" fillId="4" borderId="4" xfId="0" applyNumberFormat="1" applyFont="1" applyFill="1" applyBorder="1" applyAlignment="1">
      <x:alignment horizontal="center" vertical="center"/>
    </x:xf>
    <x:xf numFmtId="205" fontId="4" fillId="0" borderId="4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4" xfId="0" applyNumberFormat="1" applyFont="1" applyFill="1" applyBorder="1"/>
    <x:xf numFmtId="0" fontId="9" fillId="0" borderId="0" xfId="0" applyNumberFormat="1" applyFont="1" applyFill="1" applyBorder="1"/>
    <x:xf numFmtId="0" fontId="9" fillId="0" borderId="4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9" fillId="0" borderId="4" xfId="0" applyNumberFormat="1" applyFont="1" applyFill="1" applyBorder="1" applyAlignment="1">
      <x:alignment wrapText="1"/>
    </x:xf>
    <x:xf numFmtId="0" fontId="8" fillId="0" borderId="4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0" fillId="4" borderId="0" xfId="0" applyNumberFormat="1" applyFont="1" applyFill="1" applyBorder="1"/>
    <x:xf numFmtId="0" fontId="0" fillId="3" borderId="0" xfId="0" applyNumberFormat="1" applyFont="1" applyFill="1" applyBorder="1"/>
    <x:xf numFmtId="0" fontId="8" fillId="3" borderId="0" xfId="0" applyNumberFormat="1" applyFont="1" applyFill="1" applyBorder="1"/>
    <x:xf numFmtId="0" fontId="11" fillId="0" borderId="0" xfId="0" applyNumberFormat="1" applyFont="1" applyFill="1" applyBorder="1"/>
    <x:xf numFmtId="0" fontId="12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horizontal="center" vertical="center"/>
    </x:xf>
    <x:xf numFmtId="204" fontId="6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3" fontId="4" fillId="0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9" fillId="0" borderId="4" xfId="0" applyNumberFormat="1" applyFont="1" applyFill="1" applyBorder="1" applyAlignment="1">
      <x:alignment vertical="center" wrapText="1"/>
    </x:xf>
    <x:xf numFmtId="0" fontId="8" fillId="0" borderId="4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/>
    </x:xf>
    <x:xf numFmtId="0" fontId="13" fillId="4" borderId="0" xfId="0" applyNumberFormat="1" applyFont="1" applyFill="1" applyBorder="1"/>
    <x:xf numFmtId="203" fontId="13" fillId="4" borderId="0" xfId="0" applyNumberFormat="1" applyFont="1" applyFill="1" applyBorder="1"/>
    <x:xf numFmtId="203" fontId="13" fillId="4" borderId="0" xfId="0" applyNumberFormat="1" applyFont="1" applyFill="1" applyBorder="1" applyAlignment="1">
      <x:alignment horizontal="center"/>
    </x:xf>
    <x:xf numFmtId="0" fontId="13" fillId="7" borderId="0" xfId="0" applyNumberFormat="1" applyFont="1" applyFill="1" applyBorder="1"/>
    <x:xf numFmtId="0" fontId="13" fillId="7" borderId="0" xfId="0" applyNumberFormat="1" applyFont="1" applyFill="1" applyBorder="1" applyAlignment="1">
      <x:alignment horizontal="center"/>
    </x:xf>
    <x:xf numFmtId="205" fontId="3" fillId="2" borderId="2" xfId="0" applyNumberFormat="1" applyFont="1" applyFill="1" applyBorder="1" applyAlignment="1">
      <x:alignment horizontal="center" vertical="center" wrapText="1"/>
    </x:xf>
    <x:xf numFmtId="0" fontId="14" fillId="7" borderId="0" xfId="0" applyNumberFormat="1" applyFont="1" applyFill="1" applyBorder="1"/>
    <x:xf numFmtId="0" fontId="14" fillId="7" borderId="5" xfId="0" applyNumberFormat="1" applyFont="1" applyFill="1" applyBorder="1"/>
    <x:xf numFmtId="0" fontId="15" fillId="4" borderId="0" xfId="0" applyNumberFormat="1" applyFont="1" applyFill="1" applyBorder="1"/>
    <x:xf numFmtId="0" fontId="15" fillId="4" borderId="6" xfId="0" applyNumberFormat="1" applyFont="1" applyFill="1" applyBorder="1"/>
    <x:xf numFmtId="0" fontId="7" fillId="0" borderId="0" xfId="0" applyNumberFormat="1" applyFont="1" applyFill="1" applyBorder="1"/>
    <x:xf numFmtId="202" fontId="7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14" fillId="7" borderId="5" xfId="0" applyNumberFormat="1" applyFont="1" applyFill="1" applyBorder="1" applyAlignment="1">
      <x:alignment horizontal="center"/>
    </x:xf>
    <x:xf numFmtId="0" fontId="15" fillId="4" borderId="6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4" fillId="7" borderId="5" xfId="0" applyNumberFormat="1" applyFont="1" applyFill="1" applyBorder="1" applyAlignment="1">
      <x:alignment wrapText="1"/>
    </x:xf>
    <x:xf numFmtId="0" fontId="15" fillId="4" borderId="6" xfId="0" applyNumberFormat="1" applyFont="1" applyFill="1" applyBorder="1" applyAlignment="1">
      <x:alignment wrapText="1"/>
    </x:xf>
    <x:xf numFmtId="0" fontId="7" fillId="0" borderId="4" xfId="0" applyNumberFormat="1" applyFont="1" applyFill="1" applyBorder="1"/>
    <x:xf numFmtId="0" fontId="4" fillId="0" borderId="4" xfId="0" applyNumberFormat="1" applyFont="1" applyFill="1" applyBorder="1" applyAlignment="1">
      <x:alignment horizontal="center"/>
    </x:xf>
    <x:xf numFmtId="0" fontId="4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horizontal="center"/>
    </x:xf>
    <x:xf numFmtId="202" fontId="7" fillId="0" borderId="4" xfId="0" applyNumberFormat="1" applyFont="1" applyFill="1" applyBorder="1"/>
    <x:xf numFmtId="203" fontId="13" fillId="4" borderId="0" xfId="0" applyNumberFormat="1" applyFont="1" applyFill="1" applyBorder="1" applyAlignment="1">
      <x:alignment horizontal="center" vertical="center"/>
    </x:xf>
    <x:xf numFmtId="0" fontId="13" fillId="7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14" fillId="7" borderId="5" xfId="0" applyNumberFormat="1" applyFont="1" applyFill="1" applyBorder="1" applyAlignment="1">
      <x:alignment vertical="center"/>
    </x:xf>
    <x:xf numFmtId="0" fontId="14" fillId="7" borderId="5" xfId="0" applyNumberFormat="1" applyFont="1" applyFill="1" applyBorder="1" applyAlignment="1">
      <x:alignment horizontal="center" vertical="center"/>
    </x:xf>
    <x:xf numFmtId="0" fontId="14" fillId="7" borderId="5" xfId="0" applyNumberFormat="1" applyFont="1" applyFill="1" applyBorder="1" applyAlignment="1">
      <x:alignment vertical="center" wrapText="1"/>
    </x:xf>
    <x:xf numFmtId="0" fontId="15" fillId="4" borderId="6" xfId="0" applyNumberFormat="1" applyFont="1" applyFill="1" applyBorder="1" applyAlignment="1">
      <x:alignment vertical="center"/>
    </x:xf>
    <x:xf numFmtId="0" fontId="15" fillId="4" borderId="6" xfId="0" applyNumberFormat="1" applyFont="1" applyFill="1" applyBorder="1" applyAlignment="1">
      <x:alignment horizontal="center" vertical="center"/>
    </x:xf>
    <x:xf numFmtId="0" fontId="15" fillId="4" borderId="6" xfId="0" applyNumberFormat="1" applyFont="1" applyFill="1" applyBorder="1" applyAlignment="1">
      <x:alignment vertical="center" wrapText="1"/>
    </x:xf>
    <x:xf numFmtId="202" fontId="7" fillId="0" borderId="0" xfId="0" applyNumberFormat="1" applyFont="1" applyFill="1" applyBorder="1" applyAlignment="1">
      <x:alignment vertical="center"/>
    </x:xf>
    <x:xf numFmtId="202" fontId="7" fillId="0" borderId="4" xfId="0" applyNumberFormat="1" applyFont="1" applyFill="1" applyBorder="1" applyAlignment="1">
      <x:alignment vertical="center"/>
    </x:xf>
  </x:cellXfs>
  <x:cellStyles count="1">
    <x:cellStyle name="Normal" xfId="0"/>
  </x:cellStyles>
  <x:dxfs count="104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color rgb="FF667085"/>
      </x:font>
      <x:fill>
        <x:patternFill patternType="solid">
          <x:bgColor rgb="FFF2F4F7"/>
        </x:patternFill>
      </x:fill>
    </x:dxf>
    <x:dxf>
      <x:font>
        <x:i/>
        <x:color rgb="FF666666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i/>
        <x:color rgb="FF667085"/>
      </x:font>
      <x:fill>
        <x:patternFill patternType="solid">
          <x:bgColor rgb="FFF2F4F7"/>
        </x:patternFill>
      </x:fill>
    </x:dxf>
    <x:dxf>
      <x:font>
        <x:i/>
        <x:color rgb="FF666666"/>
      </x:font>
      <x:fill>
        <x:patternFill patternType="solid">
          <x:bgColor rgb="FFE7E6E6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  <x:dxf>
      <x:font>
        <x:b/>
        <x:color rgb="FFFFFFFF"/>
      </x:font>
      <x:fill>
        <x:patternFill patternType="solid">
          <x:bgColor rgb="FF17365D"/>
        </x:patternFill>
      </x:fill>
    </x:dxf>
    <x:dxf>
      <x:font>
        <x:i/>
        <x:color rgb="FF7F7F7F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color rgb="FF667085"/>
      </x:font>
      <x:fill>
        <x:patternFill patternType="solid">
          <x:bgColor rgb="FFF2F4F7"/>
        </x:patternFill>
      </x:fill>
    </x:dxf>
    <x:dxf>
      <x:font>
        <x:i/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color rgb="FF667085"/>
      </x:font>
      <x:fill>
        <x:patternFill patternType="solid">
          <x:bgColor rgb="FFF2F4F7"/>
        </x:patternFill>
      </x:fill>
    </x:dxf>
    <x:dxf>
      <x:font>
        <x:i/>
        <x:color rgb="FF666666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color rgb="FF667085"/>
      </x:font>
      <x:fill>
        <x:patternFill patternType="solid">
          <x:bgColor rgb="FFF2F4F7"/>
        </x:patternFill>
      </x:fill>
    </x:dxf>
    <x:dxf>
      <x:font>
        <x:i/>
        <x:color rgb="FF666666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i/>
        <x:color rgb="FF667085"/>
      </x:font>
      <x:fill>
        <x:patternFill patternType="solid">
          <x:bgColor rgb="FFF2F4F7"/>
        </x:patternFill>
      </x:fill>
    </x:dxf>
    <x:dxf>
      <x:font>
        <x:i/>
        <x:color rgb="FF666666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color rgb="FF667085"/>
      </x:font>
      <x:fill>
        <x:patternFill patternType="solid">
          <x:bgColor rgb="FFF2F4F7"/>
        </x:patternFill>
      </x:fill>
    </x:dxf>
    <x:dxf>
      <x:font>
        <x:i/>
        <x:color rgb="FF666666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i/>
        <x:color rgb="FF667085"/>
      </x:font>
      <x:fill>
        <x:patternFill patternType="solid">
          <x:bgColor rgb="FFF2F4F7"/>
        </x:patternFill>
      </x:fill>
    </x:dxf>
    <x:dxf>
      <x:font>
        <x:i/>
        <x:color rgb="FF666666"/>
      </x:font>
      <x:fill>
        <x:patternFill patternType="solid">
          <x:bgColor rgb="FFE7E6E6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color rgb="FF667085"/>
      </x:font>
      <x:fill>
        <x:patternFill patternType="solid">
          <x:bgColor rgb="FFF2F4F7"/>
        </x:patternFill>
      </x:fill>
    </x:dxf>
    <x:dxf>
      <x:font>
        <x:i/>
        <x:color rgb="FF666666"/>
      </x:font>
      <x:fill>
        <x:patternFill patternType="solid">
          <x:bgColor rgb="FFE7E6E6"/>
        </x:patternFill>
      </x:fill>
    </x:dxf>
    <x:dxf>
      <x:font>
        <x:i/>
        <x:color rgb="FF7F7F7F"/>
      </x:font>
      <x:fill>
        <x:patternFill patternType="solid">
          <x:bgColor rgb="FFE7E6E6"/>
        </x:patternFill>
      </x:fill>
    </x:dxf>
    <x:dxf>
      <x:fill>
        <x:patternFill patternType="solid">
          <x:bgColor rgb="FF2F75B5"/>
        </x:patternFill>
      </x:fill>
    </x:dxf>
    <x:dxf>
      <x:fill>
        <x:patternFill patternType="solid">
          <x:bgColor rgb="FF2F7976"/>
        </x:patternFill>
      </x:fill>
    </x:dxf>
    <x:dxf>
      <x:fill>
        <x:patternFill patternType="solid">
          <x:bgColor rgb="FF8064A2"/>
        </x:patternFill>
      </x:fill>
    </x:dxf>
    <x:dxf>
      <x:fill>
        <x:patternFill patternType="solid">
          <x:bgColor rgb="FFD6A84B"/>
        </x:patternFill>
      </x:fill>
    </x:dxf>
    <x:dxf>
      <x:fill>
        <x:patternFill patternType="solid">
          <x:bgColor rgb="FF4F7F52"/>
        </x:patternFill>
      </x:fill>
    </x:dxf>
    <x:dxf>
      <x:fill>
        <x:patternFill patternType="solid">
          <x:bgColor rgb="FF2F75B5"/>
        </x:patternFill>
      </x:fill>
    </x:dxf>
    <x:dxf>
      <x:fill>
        <x:patternFill patternType="solid">
          <x:bgColor rgb="FF2F75B5"/>
        </x:patternFill>
      </x:fill>
    </x:dxf>
    <x:dxf>
      <x:fill>
        <x:patternFill patternType="solid">
          <x:bgColor rgb="FF2F75B5"/>
        </x:patternFill>
      </x:fill>
    </x:dxf>
    <x:dxf>
      <x:fill>
        <x:patternFill patternType="solid">
          <x:bgColor rgb="FF2F75B5"/>
        </x:patternFill>
      </x:fill>
    </x:dxf>
    <x:dxf>
      <x:fill>
        <x:patternFill patternType="solid">
          <x:bgColor rgb="FF2F75B5"/>
        </x:patternFill>
      </x:fill>
    </x:dxf>
    <x:dxf>
      <x:fill>
        <x:patternFill patternType="solid">
          <x:bgColor rgb="FF2F75B5"/>
        </x:patternFill>
      </x:fill>
    </x:dxf>
    <x:dxf>
      <x:fill>
        <x:patternFill patternType="solid">
          <x:bgColor rgb="FF2F75B5"/>
        </x:patternFill>
      </x:fill>
    </x:dxf>
    <x:dxf>
      <x:fill>
        <x:patternFill patternType="solid">
          <x:bgColor rgb="FF2F7976"/>
        </x:patternFill>
      </x:fill>
    </x:dxf>
    <x:dxf>
      <x:fill>
        <x:patternFill patternType="solid">
          <x:bgColor rgb="FF8064A2"/>
        </x:patternFill>
      </x:fill>
    </x:dxf>
    <x:dxf>
      <x:fill>
        <x:patternFill patternType="solid">
          <x:bgColor rgb="FF8064A2"/>
        </x:patternFill>
      </x:fill>
    </x:dxf>
    <x:dxf>
      <x:fill>
        <x:patternFill patternType="solid">
          <x:bgColor rgb="FFD6A84B"/>
        </x:patternFill>
      </x:fill>
    </x:dxf>
    <x:dxf>
      <x:fill>
        <x:patternFill patternType="solid">
          <x:bgColor rgb="FFD6A84B"/>
        </x:patternFill>
      </x:fill>
    </x:dxf>
    <x:dxf>
      <x:fill>
        <x:patternFill patternType="solid">
          <x:bgColor rgb="FFD6A84B"/>
        </x:patternFill>
      </x:fill>
    </x:dxf>
    <x:dxf>
      <x:fill>
        <x:patternFill patternType="solid">
          <x:bgColor rgb="FFD6A84B"/>
        </x:patternFill>
      </x:fill>
    </x:dxf>
    <x:dxf>
      <x:fill>
        <x:patternFill patternType="solid">
          <x:bgColor rgb="FF4F7F52"/>
        </x:patternFill>
      </x:fill>
    </x:dxf>
    <x:dxf>
      <x:fill>
        <x:patternFill patternType="solid">
          <x:bgColor rgb="FF4F7F52"/>
        </x:patternFill>
      </x:fill>
    </x:dxf>
    <x:dxf>
      <x:fill>
        <x:patternFill patternType="solid">
          <x:bgColor rgb="FF4F7F52"/>
        </x:patternFill>
      </x:fill>
    </x:dxf>
    <x:dxf>
      <x:fill>
        <x:patternFill patternType="solid">
          <x:bgColor rgb="FF4F7F52"/>
        </x:patternFill>
      </x:fill>
    </x:dxf>
    <x:dxf>
      <x:font>
        <x:b/>
        <x:color rgb="FFFFFFFF"/>
      </x:font>
      <x:fill>
        <x:patternFill patternType="solid">
          <x:bgColor rgb="FFD6A84B"/>
        </x:patternFill>
      </x:fill>
    </x:dxf>
    <x:dxf>
      <x:font>
        <x:b/>
        <x:color rgb="FFFFFFFF"/>
      </x:font>
      <x:fill>
        <x:patternFill patternType="solid">
          <x:bgColor rgb="FFD6A84B"/>
        </x:patternFill>
      </x:fill>
    </x:dxf>
    <x:dxf>
      <x:font>
        <x:b/>
        <x:color rgb="FFFFFFFF"/>
      </x:font>
      <x:fill>
        <x:patternFill patternType="solid">
          <x:bgColor rgb="FFD6A84B"/>
        </x:patternFill>
      </x:fill>
    </x:dxf>
    <x:dxf>
      <x:font>
        <x:b/>
        <x:color rgb="FFFFFFFF"/>
      </x:font>
      <x:fill>
        <x:patternFill patternType="solid">
          <x:bgColor rgb="FFD6A84B"/>
        </x:patternFill>
      </x:fill>
    </x:dxf>
    <x:dxf>
      <x:font>
        <x:b/>
        <x:color rgb="FFFFFFFF"/>
      </x:font>
      <x:fill>
        <x:patternFill patternType="solid">
          <x:bgColor rgb="FFD6A84B"/>
        </x:patternFill>
      </x:fill>
    </x:dxf>
    <x:dxf>
      <x:font>
        <x:b/>
        <x:color rgb="FFFFFFFF"/>
      </x:font>
      <x:fill>
        <x:patternFill patternType="solid">
          <x:bgColor rgb="FFD6A84B"/>
        </x:patternFill>
      </x:fill>
    </x:dxf>
    <x:dxf>
      <x:font>
        <x:b/>
        <x:color rgb="FFFFFFFF"/>
      </x:font>
      <x:fill>
        <x:patternFill patternType="solid">
          <x:bgColor rgb="FFD6A84B"/>
        </x:patternFill>
      </x:fill>
    </x:dxf>
    <x:dxf>
      <x:font>
        <x:b/>
        <x:color rgb="FFFFFFFF"/>
      </x:font>
      <x:fill>
        <x:patternFill patternType="solid">
          <x:bgColor rgb="FFD6A84B"/>
        </x:patternFill>
      </x:fill>
    </x:dxf>
    <x:dxf>
      <x:font>
        <x:b/>
        <x:color rgb="FFFFFFFF"/>
      </x:font>
      <x:fill>
        <x:patternFill patternType="solid">
          <x:bgColor rgb="FFD6A84B"/>
        </x:patternFill>
      </x:fill>
    </x:dxf>
    <x:dxf>
      <x:font>
        <x:b/>
        <x:color rgb="FFFFFFFF"/>
      </x:font>
      <x:fill>
        <x:patternFill patternType="solid">
          <x:bgColor rgb="FFD6A84B"/>
        </x:patternFill>
      </x:fill>
    </x:dxf>
    <x:dxf>
      <x:font>
        <x:b/>
        <x:color rgb="FF17365D"/>
      </x:font>
      <x:fill>
        <x:patternFill patternType="solid">
          <x:bgColor rgb="FFFFF2CC"/>
        </x:patternFill>
      </x:fill>
    </x:dxf>
    <x:dxf>
      <x:font>
        <x:b/>
        <x:color rgb="FF17365D"/>
      </x:font>
      <x:fill>
        <x:patternFill patternType="solid">
          <x:bgColor rgb="FFFFF2CC"/>
        </x:patternFill>
      </x:fill>
    </x:dxf>
    <x:dxf>
      <x:font>
        <x:b/>
        <x:color rgb="FF17365D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cb8d0f400b480e" /><Relationship Type="http://schemas.openxmlformats.org/officeDocument/2006/relationships/theme" Target="/xl/theme/theme1.xml" Id="Re72e47bd7f4a42f5" /><Relationship Type="http://schemas.openxmlformats.org/officeDocument/2006/relationships/sharedStrings" Target="/xl/sharedStrings.xml" Id="R96bfbc901e9a420f" /><Relationship Type="http://schemas.openxmlformats.org/officeDocument/2006/relationships/worksheet" Target="/xl/worksheets/sheet1.xml" Id="R29acebb8b632484e" /><Relationship Type="http://schemas.openxmlformats.org/officeDocument/2006/relationships/worksheet" Target="/xl/worksheets/sheet2.xml" Id="R39199c87a501430d" /><Relationship Type="http://schemas.openxmlformats.org/officeDocument/2006/relationships/worksheet" Target="/xl/worksheets/sheet3.xml" Id="R0374ec8cbc9a489d" /><Relationship Type="http://schemas.openxmlformats.org/officeDocument/2006/relationships/worksheet" Target="/xl/worksheets/sheet4.xml" Id="R453032d3aa6b4ac8" /><Relationship Type="http://schemas.openxmlformats.org/officeDocument/2006/relationships/worksheet" Target="/xl/worksheets/sheet5.xml" Id="Rf43ddd3270794b27" /></Relationships>
</file>

<file path=xl/tables/table1.xml><?xml version="1.0" encoding="utf-8"?>
<x:table xmlns:x="http://schemas.openxmlformats.org/spreadsheetml/2006/main" id="2" name="WeeklyActionTable" displayName="WeeklyActionTable" ref="A7:K107" headerRowCount="1" totalsRowCount="0" totalsRowShown="0">
  <x:autoFilter ref="A7:K107"/>
  <x:tableColumns count="11">
    <x:tableColumn id="1" name="WBS ID"/>
    <x:tableColumn id="2" name="Phase / Workstream"/>
    <x:tableColumn id="3" name="Activity"/>
    <x:tableColumn id="4" name="Accountable Owner"/>
    <x:tableColumn id="5" name="Start Week"/>
    <x:tableColumn id="6" name="End Week"/>
    <x:tableColumn id="7" name="Status"/>
    <x:tableColumn id="8" name="Schedule Health"/>
    <x:tableColumn id="9" name="Next Action"/>
    <x:tableColumn id="10" name="Blocker / Decision Needed"/>
    <x:tableColumn id="11" name="Supporting Team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MasterPlanTable" displayName="MasterPlanTable" ref="A6:P247" headerRowCount="1" totalsRowCount="0" totalsRowShown="0">
  <x:autoFilter ref="A6:P247"/>
  <x:tableColumns count="16">
    <x:tableColumn id="1" name="WBS ID"/>
    <x:tableColumn id="2" name="Phase / Workstream"/>
    <x:tableColumn id="3" name="Activity"/>
    <x:tableColumn id="4" name="Accountable Owner"/>
    <x:tableColumn id="5" name="Start Week"/>
    <x:tableColumn id="6" name="End Week"/>
    <x:tableColumn id="7" name="Status"/>
    <x:tableColumn id="8" name="Schedule Health"/>
    <x:tableColumn id="9" name="Next Action"/>
    <x:tableColumn id="10" name="Blocker / Decision Needed"/>
    <x:tableColumn id="11" name="Supporting Teams"/>
    <x:tableColumn id="12" name="Dependencies"/>
    <x:tableColumn id="13" name="Duration (Weeks)"/>
    <x:tableColumn id="14" name="Milestone / Stage Gate"/>
    <x:tableColumn id="15" name="Notes"/>
    <x:tableColumn id="16" name="Ke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lestoneGateTable" displayName="MilestoneGateTable" ref="A5:G34" headerRowCount="1" totalsRowCount="0" totalsRowShown="0">
  <x:autoFilter ref="A5:G34"/>
  <x:tableColumns count="7">
    <x:tableColumn id="1" name="WBS / Gate ID"/>
    <x:tableColumn id="2" name="Type"/>
    <x:tableColumn id="3" name="Event"/>
    <x:tableColumn id="4" name="Target Week"/>
    <x:tableColumn id="5" name="Accountable Owner"/>
    <x:tableColumn id="6" name="Status"/>
    <x:tableColumn id="7" name="Exit Criteria / Deliverab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ee69320f9841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bb5049011641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b0f1eadad764269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  <x:col min="3" max="3" width="9" hidden="0" customWidth="1"/>
    <x:col min="4" max="4" width="16" hidden="0" customWidth="1"/>
    <x:col min="5" max="5" width="3" hidden="0" customWidth="1"/>
    <x:col min="6" max="6" width="13" hidden="0" customWidth="1"/>
    <x:col min="7" max="7" width="29" hidden="0" customWidth="1"/>
    <x:col min="8" max="8" width="11" hidden="0" customWidth="1"/>
    <x:col min="9" max="9" width="16" hidden="0" customWidth="1"/>
    <x:col min="10" max="10" width="24" hidden="0" customWidth="1"/>
  </x:cols>
  <x:sheetData>
    <x:row r="1">
      <x:c r="A1" s="93"/>
      <x:c r="B1" s="93"/>
      <x:c r="C1" s="93"/>
      <x:c r="D1" s="93"/>
      <x:c r="E1" s="93"/>
      <x:c r="F1" s="93"/>
      <x:c r="G1" s="93"/>
      <x:c r="H1" s="93"/>
      <x:c r="I1" s="93"/>
      <x:c r="J1" s="93"/>
    </x:row>
    <x:row r="2">
      <x:c r="A2" s="94" t="str">
        <x:v>Credit Sense + Fiserv OLB Implementation</x:v>
      </x:c>
      <x:c r="B2" s="95"/>
      <x:c r="C2" s="95"/>
      <x:c r="D2" s="95"/>
      <x:c r="E2" s="95"/>
      <x:c r="F2" s="95"/>
      <x:c r="G2" s="95"/>
      <x:c r="H2" s="95"/>
      <x:c r="I2" s="95"/>
      <x:c r="J2" s="95"/>
    </x:row>
    <x:row r="3">
      <x:c r="A3" s="96" t="str">
        <x:v>Relative-week project plan for client delivery</x:v>
      </x:c>
      <x:c r="B3" s="96"/>
      <x:c r="C3" s="96"/>
      <x:c r="D3" s="96"/>
      <x:c r="E3" s="96"/>
      <x:c r="F3" s="96"/>
      <x:c r="G3" s="96"/>
      <x:c r="H3" s="96"/>
      <x:c r="I3" s="96"/>
      <x:c r="J3" s="96"/>
    </x:row>
    <x:row r="4">
      <x:c r="A4" s="93"/>
      <x:c r="B4" s="93"/>
      <x:c r="C4" s="93"/>
      <x:c r="D4" s="93"/>
      <x:c r="E4" s="93"/>
      <x:c r="F4" s="93"/>
      <x:c r="G4" s="93"/>
      <x:c r="H4" s="93"/>
      <x:c r="I4" s="93"/>
      <x:c r="J4" s="93"/>
    </x:row>
    <x:row r="5">
      <x:c r="A5" s="97" t="str">
        <x:v>Project profile</x:v>
      </x:c>
      <x:c r="B5" s="97" t="str"/>
      <x:c r="C5" s="93"/>
      <x:c r="D5" s="98" t="str">
        <x:v>Portfolio summary</x:v>
      </x:c>
      <x:c r="E5" s="98" t="str"/>
      <x:c r="F5" s="98" t="str"/>
      <x:c r="G5" s="98" t="str"/>
      <x:c r="H5" s="98" t="str"/>
      <x:c r="I5" s="98" t="str"/>
      <x:c r="J5" s="98" t="str"/>
    </x:row>
    <x:row r="6">
      <x:c r="A6" s="99" t="str">
        <x:v>Project</x:v>
      </x:c>
      <x:c r="B6" s="18" t="str">
        <x:v>Credit Sense by SavvyMoney integration into Fiserv OLB</x:v>
      </x:c>
      <x:c r="C6" s="93"/>
      <x:c r="D6" s="100" t="str">
        <x:v>Required Tasks</x:v>
      </x:c>
      <x:c r="E6" s="100" t="str"/>
      <x:c r="F6" s="100" t="str">
        <x:v>Milestones</x:v>
      </x:c>
      <x:c r="G6" s="100" t="str"/>
      <x:c r="H6" s="100" t="str">
        <x:v>Stage Gates</x:v>
      </x:c>
      <x:c r="I6" s="100" t="str"/>
      <x:c r="J6" s="100" t="str">
        <x:v>Completion</x:v>
      </x:c>
    </x:row>
    <x:row r="7">
      <x:c r="A7" s="99" t="str">
        <x:v>Client</x:v>
      </x:c>
      <x:c r="B7" s="69" t="str"/>
      <x:c r="C7" s="93"/>
      <x:c r="D7" s="101" t="n">
        <x:f>COUNTIFS('Master Plan'!$N$7:$N$247,"&lt;&gt;Stage Gate",'Master Plan'!$G$7:$G$247,"&lt;&gt;Not Needed")</x:f>
        <x:v>231</x:v>
      </x:c>
      <x:c r="E7" s="101"/>
      <x:c r="F7" s="101" t="n">
        <x:f>COUNTIFS('Master Plan'!$N$7:$N$247,"Milestone",'Master Plan'!$G$7:$G$247,"&lt;&gt;Not Needed")</x:f>
        <x:v>19</x:v>
      </x:c>
      <x:c r="G7" s="101"/>
      <x:c r="H7" s="101" t="n">
        <x:f>COUNTIFS('Master Plan'!$N$7:$N$247,"Stage Gate",'Master Plan'!$G$7:$G$247,"&lt;&gt;Not Needed")</x:f>
        <x:v>10</x:v>
      </x:c>
      <x:c r="I7" s="101"/>
      <x:c r="J7" s="102" t="n">
        <x:f>IF(COUNTIFS('Master Plan'!$N$7:$N$247,"&lt;&gt;Stage Gate",'Master Plan'!$G$7:$G$247,"&lt;&gt;Not Needed")=0,0,COUNTIFS('Master Plan'!$N$7:$N$247,"&lt;&gt;Stage Gate",'Master Plan'!$G$7:$G$247,"Complete")/COUNTIFS('Master Plan'!$N$7:$N$247,"&lt;&gt;Stage Gate",'Master Plan'!$G$7:$G$247,"&lt;&gt;Not Needed"))</x:f>
        <x:v>0</x:v>
      </x:c>
    </x:row>
    <x:row r="8">
      <x:c r="A8" s="99" t="str">
        <x:v>Current Project Week</x:v>
      </x:c>
      <x:c r="B8" s="103" t="n">
        <x:v>1</x:v>
      </x:c>
      <x:c r="C8" s="93"/>
      <x:c r="D8" s="93"/>
      <x:c r="E8" s="93"/>
      <x:c r="F8" s="93"/>
      <x:c r="G8" s="93"/>
      <x:c r="H8" s="93"/>
      <x:c r="I8" s="93"/>
      <x:c r="J8" s="93"/>
    </x:row>
    <x:row r="9">
      <x:c r="A9" s="99" t="str">
        <x:v>Project Manager</x:v>
      </x:c>
      <x:c r="B9" s="69" t="str"/>
      <x:c r="C9" s="93"/>
      <x:c r="D9" s="100" t="str">
        <x:v>Blocked</x:v>
      </x:c>
      <x:c r="E9" s="100" t="str"/>
      <x:c r="F9" s="100" t="str">
        <x:v>At Risk</x:v>
      </x:c>
      <x:c r="G9" s="100" t="str"/>
      <x:c r="H9" s="100" t="str">
        <x:v>In Progress</x:v>
      </x:c>
      <x:c r="I9" s="100" t="str"/>
      <x:c r="J9" s="100" t="str">
        <x:v>Not Needed</x:v>
      </x:c>
    </x:row>
    <x:row r="10">
      <x:c r="A10" s="99" t="str">
        <x:v>Planning Horizon</x:v>
      </x:c>
      <x:c r="B10" s="104" t="n">
        <x:f>MAX('Master Plan'!$F$7:$F$247)</x:f>
        <x:v>17</x:v>
      </x:c>
      <x:c r="C10" s="93"/>
      <x:c r="D10" s="101" t="n">
        <x:f>COUNTIFS('Master Plan'!$N$7:$N$247,"&lt;&gt;Stage Gate",'Master Plan'!$G$7:$G$247,"Blocked")</x:f>
        <x:v>0</x:v>
      </x:c>
      <x:c r="E10" s="101"/>
      <x:c r="F10" s="101" t="n">
        <x:f>COUNTIFS('Master Plan'!$N$7:$N$247,"&lt;&gt;Stage Gate",'Master Plan'!$G$7:$G$247,"At Risk")</x:f>
        <x:v>0</x:v>
      </x:c>
      <x:c r="G10" s="101"/>
      <x:c r="H10" s="101" t="n">
        <x:f>COUNTIFS('Master Plan'!$N$7:$N$247,"&lt;&gt;Stage Gate",'Master Plan'!$G$7:$G$247,"In Progress")</x:f>
        <x:v>0</x:v>
      </x:c>
      <x:c r="I10" s="101"/>
      <x:c r="J10" s="101" t="n">
        <x:f>COUNTIFS('Master Plan'!$N$7:$N$247,"&lt;&gt;Stage Gate",'Master Plan'!$G$7:$G$247,"Not Needed")</x:f>
        <x:v>0</x:v>
      </x:c>
    </x:row>
    <x:row r="11">
      <x:c r="A11" s="99" t="str">
        <x:v>Overall Status</x:v>
      </x:c>
      <x:c r="B11" s="66" t="str">
        <x:f>IF(COUNTIFS('Master Plan'!$N$7:$N$247,"&lt;&gt;Stage Gate",'Master Plan'!$G$7:$G$247,"&lt;&gt;Not Needed")=0,"Complete",IF(COUNTIFS('Master Plan'!$N$7:$N$247,"&lt;&gt;Stage Gate",'Master Plan'!$G$7:$G$247,"Blocked")&gt;0,"Blocked",IF(COUNTIFS('Master Plan'!$N$7:$N$247,"&lt;&gt;Stage Gate",'Master Plan'!$G$7:$G$247,"At Risk")&gt;0,"At Risk",IF(COUNTIFS('Master Plan'!$N$7:$N$247,"&lt;&gt;Stage Gate",'Master Plan'!$G$7:$G$247,"Complete")=COUNTIFS('Master Plan'!$N$7:$N$247,"&lt;&gt;Stage Gate",'Master Plan'!$G$7:$G$247,"&lt;&gt;Not Needed"),"Complete",IF(COUNTIFS('Master Plan'!$N$7:$N$247,"&lt;&gt;Stage Gate",'Master Plan'!$G$7:$G$247,"In Progress")&gt;0,"In Progress","Not Started")))))</x:f>
        <x:v>Not Started</x:v>
      </x:c>
      <x:c r="C11" s="93"/>
      <x:c r="D11" s="93"/>
      <x:c r="E11" s="93"/>
      <x:c r="F11" s="93"/>
      <x:c r="G11" s="93"/>
      <x:c r="H11" s="93"/>
      <x:c r="I11" s="93"/>
      <x:c r="J11" s="93"/>
    </x:row>
    <x:row r="12">
      <x:c r="A12" s="93"/>
      <x:c r="B12" s="93"/>
      <x:c r="C12" s="93"/>
      <x:c r="D12" s="93"/>
      <x:c r="E12" s="93"/>
      <x:c r="F12" s="93"/>
      <x:c r="G12" s="93"/>
      <x:c r="H12" s="93"/>
      <x:c r="I12" s="93"/>
      <x:c r="J12" s="93"/>
    </x:row>
    <x:row r="13">
      <x:c r="A13" s="93"/>
      <x:c r="B13" s="93"/>
      <x:c r="C13" s="93"/>
      <x:c r="D13" s="93"/>
      <x:c r="E13" s="93"/>
      <x:c r="F13" s="93"/>
      <x:c r="G13" s="93"/>
      <x:c r="H13" s="93"/>
      <x:c r="I13" s="93"/>
      <x:c r="J13" s="93"/>
    </x:row>
    <x:row r="14" ht="30" customHeight="1">
      <x:c r="A14" s="9" t="str">
        <x:v>Executive roadmap</x:v>
      </x:c>
      <x:c r="B14" s="9" t="str">
        <x:v>Primary focus</x:v>
      </x:c>
      <x:c r="C14" s="9" t="str">
        <x:v>Start</x:v>
      </x:c>
      <x:c r="D14" s="9" t="str">
        <x:v>End</x:v>
      </x:c>
      <x:c r="E14" s="93"/>
      <x:c r="F14" s="9" t="str">
        <x:v>Gate</x:v>
      </x:c>
      <x:c r="G14" s="9" t="str">
        <x:v>Stage Gate</x:v>
      </x:c>
      <x:c r="H14" s="9" t="str">
        <x:v>Target</x:v>
      </x:c>
      <x:c r="I14" s="9" t="str">
        <x:v>Status</x:v>
      </x:c>
      <x:c r="J14" s="9" t="str">
        <x:v>Owner</x:v>
      </x:c>
    </x:row>
    <x:row r="15" ht="30" customHeight="1">
      <x:c r="A15" s="64" t="str">
        <x:v>Define</x:v>
      </x:c>
      <x:c r="B15" s="27" t="str">
        <x:v>Scope, product, vendors, technical design, UX, and risk review</x:v>
      </x:c>
      <x:c r="C15" s="23" t="n">
        <x:v>1</x:v>
      </x:c>
      <x:c r="D15" s="23" t="n">
        <x:v>5</x:v>
      </x:c>
      <x:c r="E15" s="93"/>
      <x:c r="F15" s="71" t="str">
        <x:v>​G1</x:v>
      </x:c>
      <x:c r="G15" s="18" t="str">
        <x:f>INDEX('Master Plan'!$C$7:$C$247,MATCH($F15,'Master Plan'!$A$7:$A$247,0))</x:f>
        <x:v>G1 Scope Approved</x:v>
      </x:c>
      <x:c r="H15" s="73" t="n">
        <x:f>INDEX('Master Plan'!$E$7:$E$247,MATCH($F15,'Master Plan'!$A$7:$A$247,0))</x:f>
        <x:v>3</x:v>
      </x:c>
      <x:c r="I15" s="23" t="str">
        <x:f>INDEX('Master Plan'!$G$7:$G$247,MATCH($F15,'Master Plan'!$A$7:$A$247,0))</x:f>
        <x:v>Not Started</x:v>
      </x:c>
      <x:c r="J15" s="18" t="str">
        <x:f>INDEX('Master Plan'!$D$7:$D$247,MATCH($F15,'Master Plan'!$A$7:$A$247,0))</x:f>
        <x:v>Sponsor</x:v>
      </x:c>
    </x:row>
    <x:row r="16" ht="30" customHeight="1">
      <x:c r="A16" s="64" t="str">
        <x:v>Build</x:v>
      </x:c>
      <x:c r="B16" s="27" t="str">
        <x:v>Fiserv and SavvyMoney configuration, SSO, navigation, and analytics</x:v>
      </x:c>
      <x:c r="C16" s="23" t="n">
        <x:v>5</x:v>
      </x:c>
      <x:c r="D16" s="23" t="n">
        <x:v>8</x:v>
      </x:c>
      <x:c r="E16" s="93"/>
      <x:c r="F16" s="71" t="str">
        <x:v>​G2</x:v>
      </x:c>
      <x:c r="G16" s="18" t="str">
        <x:f>INDEX('Master Plan'!$C$7:$C$247,MATCH($F16,'Master Plan'!$A$7:$A$247,0))</x:f>
        <x:v>G2 Solution Approved</x:v>
      </x:c>
      <x:c r="H16" s="73" t="n">
        <x:f>INDEX('Master Plan'!$E$7:$E$247,MATCH($F16,'Master Plan'!$A$7:$A$247,0))</x:f>
        <x:v>5</x:v>
      </x:c>
      <x:c r="I16" s="23" t="str">
        <x:f>INDEX('Master Plan'!$G$7:$G$247,MATCH($F16,'Master Plan'!$A$7:$A$247,0))</x:f>
        <x:v>Not Started</x:v>
      </x:c>
      <x:c r="J16" s="18" t="str">
        <x:f>INDEX('Master Plan'!$D$7:$D$247,MATCH($F16,'Master Plan'!$A$7:$A$247,0))</x:f>
        <x:v>Architecture</x:v>
      </x:c>
    </x:row>
    <x:row r="17" ht="30" customHeight="1">
      <x:c r="A17" s="64" t="str">
        <x:v>Prove</x:v>
      </x:c>
      <x:c r="B17" s="27" t="str">
        <x:v>QA, UAT, accessibility, security validation, and defects</x:v>
      </x:c>
      <x:c r="C17" s="23" t="n">
        <x:v>7</x:v>
      </x:c>
      <x:c r="D17" s="23" t="n">
        <x:v>11</x:v>
      </x:c>
      <x:c r="E17" s="93"/>
      <x:c r="F17" s="71" t="str">
        <x:v>​G3</x:v>
      </x:c>
      <x:c r="G17" s="18" t="str">
        <x:f>INDEX('Master Plan'!$C$7:$C$247,MATCH($F17,'Master Plan'!$A$7:$A$247,0))</x:f>
        <x:v>G3 Risk Approved</x:v>
      </x:c>
      <x:c r="H17" s="73" t="n">
        <x:f>INDEX('Master Plan'!$E$7:$E$247,MATCH($F17,'Master Plan'!$A$7:$A$247,0))</x:f>
        <x:v>6</x:v>
      </x:c>
      <x:c r="I17" s="23" t="str">
        <x:f>INDEX('Master Plan'!$G$7:$G$247,MATCH($F17,'Master Plan'!$A$7:$A$247,0))</x:f>
        <x:v>Not Started</x:v>
      </x:c>
      <x:c r="J17" s="18" t="str">
        <x:f>INDEX('Master Plan'!$D$7:$D$247,MATCH($F17,'Master Plan'!$A$7:$A$247,0))</x:f>
        <x:v>Legal</x:v>
      </x:c>
    </x:row>
    <x:row r="18" ht="30" customHeight="1">
      <x:c r="A18" s="64" t="str">
        <x:v>Prepare</x:v>
      </x:c>
      <x:c r="B18" s="27" t="str">
        <x:v>Operations, support, training, communications, and release approvals</x:v>
      </x:c>
      <x:c r="C18" s="23" t="n">
        <x:v>8</x:v>
      </x:c>
      <x:c r="D18" s="23" t="n">
        <x:v>13</x:v>
      </x:c>
      <x:c r="E18" s="93"/>
      <x:c r="F18" s="71" t="str">
        <x:v>​G4</x:v>
      </x:c>
      <x:c r="G18" s="18" t="str">
        <x:f>INDEX('Master Plan'!$C$7:$C$247,MATCH($F18,'Master Plan'!$A$7:$A$247,0))</x:f>
        <x:v>G4 Build Complete</x:v>
      </x:c>
      <x:c r="H18" s="73" t="n">
        <x:f>INDEX('Master Plan'!$E$7:$E$247,MATCH($F18,'Master Plan'!$A$7:$A$247,0))</x:f>
        <x:v>8</x:v>
      </x:c>
      <x:c r="I18" s="23" t="str">
        <x:f>INDEX('Master Plan'!$G$7:$G$247,MATCH($F18,'Master Plan'!$A$7:$A$247,0))</x:f>
        <x:v>Not Started</x:v>
      </x:c>
      <x:c r="J18" s="18" t="str">
        <x:f>INDEX('Master Plan'!$D$7:$D$247,MATCH($F18,'Master Plan'!$A$7:$A$247,0))</x:f>
        <x:v>PM</x:v>
      </x:c>
    </x:row>
    <x:row r="19" ht="30" customHeight="1">
      <x:c r="A19" s="65" t="str">
        <x:v>Release</x:v>
      </x:c>
      <x:c r="B19" s="68" t="str">
        <x:v>Production, soft launch, general launch, and hypercare</x:v>
      </x:c>
      <x:c r="C19" s="67" t="n">
        <x:v>13</x:v>
      </x:c>
      <x:c r="D19" s="67" t="n">
        <x:v>17</x:v>
      </x:c>
      <x:c r="E19" s="93"/>
      <x:c r="F19" s="71" t="str">
        <x:v>​G5</x:v>
      </x:c>
      <x:c r="G19" s="18" t="str">
        <x:f>INDEX('Master Plan'!$C$7:$C$247,MATCH($F19,'Master Plan'!$A$7:$A$247,0))</x:f>
        <x:v>G5 QA Complete</x:v>
      </x:c>
      <x:c r="H19" s="73" t="n">
        <x:f>INDEX('Master Plan'!$E$7:$E$247,MATCH($F19,'Master Plan'!$A$7:$A$247,0))</x:f>
        <x:v>10</x:v>
      </x:c>
      <x:c r="I19" s="23" t="str">
        <x:f>INDEX('Master Plan'!$G$7:$G$247,MATCH($F19,'Master Plan'!$A$7:$A$247,0))</x:f>
        <x:v>Not Started</x:v>
      </x:c>
      <x:c r="J19" s="18" t="str">
        <x:f>INDEX('Master Plan'!$D$7:$D$247,MATCH($F19,'Master Plan'!$A$7:$A$247,0))</x:f>
        <x:v>QA</x:v>
      </x:c>
    </x:row>
    <x:row r="20">
      <x:c r="A20" s="93"/>
      <x:c r="B20" s="93"/>
      <x:c r="C20" s="93"/>
      <x:c r="D20" s="93"/>
      <x:c r="E20" s="93"/>
      <x:c r="F20" s="71" t="str">
        <x:v>​G6</x:v>
      </x:c>
      <x:c r="G20" s="18" t="str">
        <x:f>INDEX('Master Plan'!$C$7:$C$247,MATCH($F20,'Master Plan'!$A$7:$A$247,0))</x:f>
        <x:v>G6 UAT Complete</x:v>
      </x:c>
      <x:c r="H20" s="73" t="n">
        <x:f>INDEX('Master Plan'!$E$7:$E$247,MATCH($F20,'Master Plan'!$A$7:$A$247,0))</x:f>
        <x:v>11</x:v>
      </x:c>
      <x:c r="I20" s="23" t="str">
        <x:f>INDEX('Master Plan'!$G$7:$G$247,MATCH($F20,'Master Plan'!$A$7:$A$247,0))</x:f>
        <x:v>Not Started</x:v>
      </x:c>
      <x:c r="J20" s="18" t="str">
        <x:f>INDEX('Master Plan'!$D$7:$D$247,MATCH($F20,'Master Plan'!$A$7:$A$247,0))</x:f>
        <x:v>Product</x:v>
      </x:c>
    </x:row>
    <x:row r="21">
      <x:c r="A21" s="93"/>
      <x:c r="B21" s="93"/>
      <x:c r="C21" s="93"/>
      <x:c r="D21" s="93"/>
      <x:c r="E21" s="93"/>
      <x:c r="F21" s="71" t="str">
        <x:v>​G7</x:v>
      </x:c>
      <x:c r="G21" s="18" t="str">
        <x:f>INDEX('Master Plan'!$C$7:$C$247,MATCH($F21,'Master Plan'!$A$7:$A$247,0))</x:f>
        <x:v>G7 Launch Ready</x:v>
      </x:c>
      <x:c r="H21" s="73" t="n">
        <x:f>INDEX('Master Plan'!$E$7:$E$247,MATCH($F21,'Master Plan'!$A$7:$A$247,0))</x:f>
        <x:v>13</x:v>
      </x:c>
      <x:c r="I21" s="23" t="str">
        <x:f>INDEX('Master Plan'!$G$7:$G$247,MATCH($F21,'Master Plan'!$A$7:$A$247,0))</x:f>
        <x:v>Not Started</x:v>
      </x:c>
      <x:c r="J21" s="18" t="str">
        <x:f>INDEX('Master Plan'!$D$7:$D$247,MATCH($F21,'Master Plan'!$A$7:$A$247,0))</x:f>
        <x:v>Sponsor</x:v>
      </x:c>
    </x:row>
    <x:row r="22">
      <x:c r="A22" s="93"/>
      <x:c r="B22" s="93"/>
      <x:c r="C22" s="93"/>
      <x:c r="D22" s="93"/>
      <x:c r="E22" s="93"/>
      <x:c r="F22" s="71" t="str">
        <x:v>​G8</x:v>
      </x:c>
      <x:c r="G22" s="18" t="str">
        <x:f>INDEX('Master Plan'!$C$7:$C$247,MATCH($F22,'Master Plan'!$A$7:$A$247,0))</x:f>
        <x:v>G8 Production Accepted</x:v>
      </x:c>
      <x:c r="H22" s="73" t="n">
        <x:f>INDEX('Master Plan'!$E$7:$E$247,MATCH($F22,'Master Plan'!$A$7:$A$247,0))</x:f>
        <x:v>13</x:v>
      </x:c>
      <x:c r="I22" s="23" t="str">
        <x:f>INDEX('Master Plan'!$G$7:$G$247,MATCH($F22,'Master Plan'!$A$7:$A$247,0))</x:f>
        <x:v>Not Started</x:v>
      </x:c>
      <x:c r="J22" s="18" t="str">
        <x:f>INDEX('Master Plan'!$D$7:$D$247,MATCH($F22,'Master Plan'!$A$7:$A$247,0))</x:f>
        <x:v>Product</x:v>
      </x:c>
    </x:row>
    <x:row r="23">
      <x:c r="A23" s="93"/>
      <x:c r="B23" s="93"/>
      <x:c r="C23" s="93"/>
      <x:c r="D23" s="93"/>
      <x:c r="E23" s="93"/>
      <x:c r="F23" s="71" t="str">
        <x:v>​G9</x:v>
      </x:c>
      <x:c r="G23" s="18" t="str">
        <x:f>INDEX('Master Plan'!$C$7:$C$247,MATCH($F23,'Master Plan'!$A$7:$A$247,0))</x:f>
        <x:v>G9 Market Ready</x:v>
      </x:c>
      <x:c r="H23" s="73" t="n">
        <x:f>INDEX('Master Plan'!$E$7:$E$247,MATCH($F23,'Master Plan'!$A$7:$A$247,0))</x:f>
        <x:v>14</x:v>
      </x:c>
      <x:c r="I23" s="23" t="str">
        <x:f>INDEX('Master Plan'!$G$7:$G$247,MATCH($F23,'Master Plan'!$A$7:$A$247,0))</x:f>
        <x:v>Not Started</x:v>
      </x:c>
      <x:c r="J23" s="18" t="str">
        <x:f>INDEX('Master Plan'!$D$7:$D$247,MATCH($F23,'Master Plan'!$A$7:$A$247,0))</x:f>
        <x:v>Sponsor</x:v>
      </x:c>
    </x:row>
    <x:row r="24">
      <x:c r="A24" s="93"/>
      <x:c r="B24" s="93"/>
      <x:c r="C24" s="93"/>
      <x:c r="D24" s="93"/>
      <x:c r="E24" s="93"/>
      <x:c r="F24" s="74" t="str">
        <x:v>​G10</x:v>
      </x:c>
      <x:c r="G24" s="66" t="str">
        <x:f>INDEX('Master Plan'!$C$7:$C$247,MATCH($F24,'Master Plan'!$A$7:$A$247,0))</x:f>
        <x:v>G10 BAU</x:v>
      </x:c>
      <x:c r="H24" s="75" t="n">
        <x:f>INDEX('Master Plan'!$E$7:$E$247,MATCH($F24,'Master Plan'!$A$7:$A$247,0))</x:f>
        <x:v>17</x:v>
      </x:c>
      <x:c r="I24" s="67" t="str">
        <x:f>INDEX('Master Plan'!$G$7:$G$247,MATCH($F24,'Master Plan'!$A$7:$A$247,0))</x:f>
        <x:v>Not Started</x:v>
      </x:c>
      <x:c r="J24" s="66" t="str">
        <x:f>INDEX('Master Plan'!$D$7:$D$247,MATCH($F24,'Master Plan'!$A$7:$A$247,0))</x:f>
        <x:v>Sponsor</x:v>
      </x:c>
    </x:row>
    <x:row r="25">
      <x:c r="A25" s="93"/>
      <x:c r="B25" s="93"/>
      <x:c r="C25" s="93"/>
      <x:c r="D25" s="93"/>
      <x:c r="E25" s="93"/>
      <x:c r="F25" s="93"/>
      <x:c r="G25" s="93"/>
      <x:c r="H25" s="93"/>
      <x:c r="I25" s="93"/>
      <x:c r="J25" s="93"/>
    </x:row>
    <x:row r="26">
      <x:c r="A26" s="93"/>
      <x:c r="B26" s="93"/>
      <x:c r="C26" s="93"/>
      <x:c r="D26" s="93"/>
      <x:c r="E26" s="93"/>
      <x:c r="F26" s="93"/>
      <x:c r="G26" s="93"/>
      <x:c r="H26" s="93"/>
      <x:c r="I26" s="93"/>
      <x:c r="J26" s="93"/>
    </x:row>
    <x:row r="27" ht="34" customHeight="1">
      <x:c r="A27" s="98" t="str">
        <x:v>Maintenance</x:v>
      </x:c>
      <x:c r="B27" s="105" t="str">
        <x:v>Update the Master Plan before the weekly meeting. Set Status to Not Needed to remove an item from the Weekly Action View and progress metrics without deleting it.</x:v>
      </x:c>
      <x:c r="C27" s="105" t="str"/>
      <x:c r="D27" s="105" t="str"/>
      <x:c r="E27" s="105" t="str"/>
      <x:c r="F27" s="105" t="str"/>
      <x:c r="G27" s="105" t="str"/>
      <x:c r="H27" s="105" t="str"/>
      <x:c r="I27" s="105" t="str"/>
      <x:c r="J27" s="105" t="str"/>
    </x:row>
    <x:row r="28">
      <x:c r="A28" s="93"/>
      <x:c r="B28" s="93"/>
      <x:c r="C28" s="93"/>
      <x:c r="D28" s="93"/>
      <x:c r="E28" s="93"/>
      <x:c r="F28" s="93"/>
      <x:c r="G28" s="93"/>
      <x:c r="H28" s="93"/>
      <x:c r="I28" s="93"/>
      <x:c r="J28" s="93"/>
    </x:row>
    <x:row r="29">
      <x:c r="A29" s="93"/>
      <x:c r="B29" s="93"/>
      <x:c r="C29" s="93"/>
      <x:c r="D29" s="93"/>
      <x:c r="E29" s="93"/>
      <x:c r="F29" s="93"/>
      <x:c r="G29" s="93"/>
      <x:c r="H29" s="93"/>
      <x:c r="I29" s="93"/>
      <x:c r="J29" s="93"/>
    </x:row>
    <x:row r="30">
      <x:c r="A30" s="98" t="str">
        <x:v>Status definitions</x:v>
      </x:c>
      <x:c r="B30" s="98" t="str">
        <x:v>Use one status per item</x:v>
      </x:c>
      <x:c r="C30" s="93"/>
      <x:c r="D30" s="93"/>
      <x:c r="E30" s="93"/>
      <x:c r="F30" s="98" t="str">
        <x:v>Schedule health</x:v>
      </x:c>
      <x:c r="G30" s="98" t="str">
        <x:v>Calculated from status and timing</x:v>
      </x:c>
      <x:c r="H30" s="93"/>
      <x:c r="I30" s="93"/>
      <x:c r="J30" s="93"/>
    </x:row>
    <x:row r="31" ht="26" customHeight="1">
      <x:c r="A31" s="106" t="str">
        <x:v>Not Started</x:v>
      </x:c>
      <x:c r="B31" s="107" t="str">
        <x:v>Work has not begun.</x:v>
      </x:c>
      <x:c r="C31" s="93"/>
      <x:c r="D31" s="93"/>
      <x:c r="E31" s="93"/>
      <x:c r="F31" s="106" t="str">
        <x:v>On Track</x:v>
      </x:c>
      <x:c r="G31" s="107" t="str">
        <x:v>Starts more than two weeks ahead or remains within its planned window.</x:v>
      </x:c>
      <x:c r="H31" s="93"/>
      <x:c r="I31" s="93"/>
      <x:c r="J31" s="93"/>
    </x:row>
    <x:row r="32" ht="26" customHeight="1">
      <x:c r="A32" s="106" t="str">
        <x:v>In Progress</x:v>
      </x:c>
      <x:c r="B32" s="107" t="str">
        <x:v>Work is underway with an accountable owner.</x:v>
      </x:c>
      <x:c r="C32" s="93"/>
      <x:c r="D32" s="93"/>
      <x:c r="E32" s="93"/>
      <x:c r="F32" s="106" t="str">
        <x:v>Due Soon</x:v>
      </x:c>
      <x:c r="G32" s="107" t="str">
        <x:v>Starts within the current week plus the next two weeks.</x:v>
      </x:c>
      <x:c r="H32" s="93"/>
      <x:c r="I32" s="93"/>
      <x:c r="J32" s="93"/>
    </x:row>
    <x:row r="33" ht="26" customHeight="1">
      <x:c r="A33" s="106" t="str">
        <x:v>At Risk</x:v>
      </x:c>
      <x:c r="B33" s="107" t="str">
        <x:v>Target or exit criteria may be missed; mitigation is required.</x:v>
      </x:c>
      <x:c r="C33" s="93"/>
      <x:c r="D33" s="93"/>
      <x:c r="E33" s="93"/>
      <x:c r="F33" s="106" t="str">
        <x:v>Late</x:v>
      </x:c>
      <x:c r="G33" s="107" t="str">
        <x:v>Planned end week has passed and the item is not complete.</x:v>
      </x:c>
      <x:c r="H33" s="93"/>
      <x:c r="I33" s="93"/>
      <x:c r="J33" s="93"/>
    </x:row>
    <x:row r="34" ht="26" customHeight="1">
      <x:c r="A34" s="106" t="str">
        <x:v>Blocked</x:v>
      </x:c>
      <x:c r="B34" s="107" t="str">
        <x:v>Work cannot proceed; a decision or action is required.</x:v>
      </x:c>
      <x:c r="C34" s="93"/>
      <x:c r="D34" s="93"/>
      <x:c r="E34" s="93"/>
      <x:c r="F34" s="106" t="str">
        <x:v>At Risk</x:v>
      </x:c>
      <x:c r="G34" s="107" t="str">
        <x:v>Status indicates a material threat to the plan.</x:v>
      </x:c>
      <x:c r="H34" s="93"/>
      <x:c r="I34" s="93"/>
      <x:c r="J34" s="93"/>
    </x:row>
    <x:row r="35" ht="26" customHeight="1">
      <x:c r="A35" s="106" t="str">
        <x:v>Complete</x:v>
      </x:c>
      <x:c r="B35" s="107" t="str">
        <x:v>Deliverable is accepted and the dependency is satisfied.</x:v>
      </x:c>
      <x:c r="C35" s="93"/>
      <x:c r="D35" s="93"/>
      <x:c r="E35" s="93"/>
      <x:c r="F35" s="106" t="str">
        <x:v>Blocked</x:v>
      </x:c>
      <x:c r="G35" s="107" t="str">
        <x:v>Status indicates work cannot proceed.</x:v>
      </x:c>
      <x:c r="H35" s="93"/>
      <x:c r="I35" s="93"/>
      <x:c r="J35" s="93"/>
    </x:row>
    <x:row r="36" ht="26" customHeight="1">
      <x:c r="A36" s="108" t="str">
        <x:v>Not Needed</x:v>
      </x:c>
      <x:c r="B36" s="109" t="str">
        <x:v>Excluded from the Weekly Action View and progress; retained for traceability.</x:v>
      </x:c>
      <x:c r="C36" s="93"/>
      <x:c r="D36" s="93"/>
      <x:c r="E36" s="93"/>
      <x:c r="F36" s="108" t="str">
        <x:v>Schedule TBD</x:v>
      </x:c>
      <x:c r="G36" s="109" t="str">
        <x:v>Start Week or End Week is missing.</x:v>
      </x:c>
      <x:c r="H36" s="93"/>
      <x:c r="I36" s="93"/>
      <x:c r="J36" s="93"/>
    </x:row>
    <x:row r="37">
      <x:c r="A37" s="93"/>
      <x:c r="B37" s="93"/>
      <x:c r="C37" s="93"/>
      <x:c r="D37" s="93"/>
      <x:c r="E37" s="93"/>
      <x:c r="F37" s="93"/>
      <x:c r="G37" s="93"/>
      <x:c r="H37" s="93"/>
      <x:c r="I37" s="93"/>
      <x:c r="J37" s="93"/>
    </x:row>
    <x:row r="38">
      <x:c r="A38" s="110" t="str">
        <x:v>Gate rule</x:v>
      </x:c>
      <x:c r="B38" s="111" t="str">
        <x:v>Mark a stage gate Complete only after its exit criteria are satisfied and the approval is recorded.</x:v>
      </x:c>
      <x:c r="C38" s="111" t="str"/>
      <x:c r="D38" s="111" t="str"/>
      <x:c r="E38" s="111" t="str"/>
      <x:c r="F38" s="111" t="str"/>
      <x:c r="G38" s="111" t="str"/>
      <x:c r="H38" s="111" t="str"/>
      <x:c r="I38" s="111" t="str"/>
      <x:c r="J38" s="111" t="str"/>
    </x:row>
    <x:row r="39">
      <x:c r="A39" s="93"/>
      <x:c r="B39" s="93"/>
      <x:c r="C39" s="93"/>
      <x:c r="D39" s="93"/>
      <x:c r="E39" s="93"/>
      <x:c r="F39" s="93"/>
      <x:c r="G39" s="93"/>
      <x:c r="H39" s="93"/>
      <x:c r="I39" s="93"/>
      <x:c r="J39" s="93"/>
    </x:row>
    <x:row r="40">
      <x:c r="A40" s="112" t="str">
        <x:v>Planning basis</x:v>
      </x:c>
      <x:c r="B40" s="113" t="str">
        <x:v>Detailed itemized schedule from the referenced Project Schedule Integration conversation. All dates are relative project weeks.</x:v>
      </x:c>
      <x:c r="C40" s="113" t="str"/>
      <x:c r="D40" s="113" t="str"/>
      <x:c r="E40" s="113" t="str"/>
      <x:c r="F40" s="113" t="str"/>
      <x:c r="G40" s="113" t="str"/>
      <x:c r="H40" s="113" t="str"/>
      <x:c r="I40" s="113" t="str"/>
      <x:c r="J40" s="113" t="str"/>
    </x:row>
  </x:sheetData>
  <x:conditionalFormatting sqref="B11:B11">
    <x:cfRule type="containsText" dxfId="17" priority="1" operator="containsText" text="Complete"/>
    <x:cfRule type="containsText" dxfId="18" priority="2" operator="containsText" text="In Progress"/>
    <x:cfRule type="containsText" dxfId="19" priority="3" operator="containsText" text="At Risk"/>
    <x:cfRule type="containsText" dxfId="20" priority="4" operator="containsText" text="Blocked"/>
    <x:cfRule type="containsText" dxfId="21" priority="5" operator="containsText" text="Not Started"/>
    <x:cfRule type="containsText" dxfId="22" priority="6" operator="containsText" text="Not Needed"/>
  </x:conditionalFormatting>
  <x:conditionalFormatting sqref="D10:D10">
    <x:cfRule type="cellIs" dxfId="23" priority="7" operator="greaterThan">
      <x:formula>0</x:formula>
    </x:cfRule>
  </x:conditionalFormatting>
  <x:conditionalFormatting sqref="F10:F10">
    <x:cfRule type="cellIs" dxfId="24" priority="8" operator="greaterThan">
      <x:formula>0</x:formula>
    </x:cfRule>
  </x:conditionalFormatting>
  <x:conditionalFormatting sqref="I15:I24">
    <x:cfRule type="containsText" dxfId="25" priority="9" operator="containsText" text="Complete"/>
    <x:cfRule type="containsText" dxfId="26" priority="10" operator="containsText" text="In Progress"/>
    <x:cfRule type="containsText" dxfId="27" priority="11" operator="containsText" text="At Risk"/>
    <x:cfRule type="containsText" dxfId="28" priority="12" operator="containsText" text="Blocked"/>
    <x:cfRule type="containsText" dxfId="29" priority="13" operator="containsText" text="Not Started"/>
    <x:cfRule type="containsText" dxfId="30" priority="14" operator="containsText" text="Not Needed"/>
  </x:conditionalFormatting>
  <x:conditionalFormatting sqref="A31:A36">
    <x:cfRule type="containsText" dxfId="31" priority="15" operator="containsText" text="Complete"/>
    <x:cfRule type="containsText" dxfId="32" priority="16" operator="containsText" text="In Progress"/>
    <x:cfRule type="containsText" dxfId="33" priority="17" operator="containsText" text="At Risk"/>
    <x:cfRule type="containsText" dxfId="34" priority="18" operator="containsText" text="Blocked"/>
    <x:cfRule type="containsText" dxfId="35" priority="19" operator="containsText" text="Not Started"/>
    <x:cfRule type="containsText" dxfId="36" priority="20" operator="containsText" text="Not Needed"/>
  </x:conditionalFormatting>
  <x:conditionalFormatting sqref="F31:F36">
    <x:cfRule type="containsText" dxfId="37" priority="21" operator="containsText" text="Complete"/>
    <x:cfRule type="containsText" dxfId="38" priority="22" operator="containsText" text="On Track"/>
    <x:cfRule type="containsText" dxfId="39" priority="23" operator="containsText" text="Due Soon"/>
    <x:cfRule type="containsText" dxfId="40" priority="24" operator="containsText" text="Late"/>
    <x:cfRule type="containsText" dxfId="41" priority="25" operator="containsText" text="At Risk"/>
    <x:cfRule type="containsText" dxfId="42" priority="26" operator="containsText" text="Blocked"/>
    <x:cfRule type="containsText" dxfId="43" priority="27" operator="containsText" text="Schedule TBD"/>
    <x:cfRule type="containsText" dxfId="44" priority="28" operator="containsText" text="Not Needed"/>
  </x:conditionalFormatting>
  <x:dataValidations count="1">
    <x:dataValidation type="whole" operator="between" sqref="B8">
      <x:formula1>1</x:formula1>
      <x:formula2>17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976"/>
  </x:sheetPr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10" hidden="0" customWidth="1"/>
    <x:col min="2" max="2" width="28" hidden="0" customWidth="1"/>
    <x:col min="3" max="3" width="38" hidden="0" customWidth="1"/>
    <x:col min="4" max="4" width="22" hidden="0" customWidth="1"/>
    <x:col min="5" max="5" width="11" hidden="0" customWidth="1"/>
    <x:col min="6" max="6" width="11" hidden="0" customWidth="1"/>
    <x:col min="7" max="7" width="16" hidden="0" customWidth="1"/>
    <x:col min="8" max="8" width="17" hidden="0" customWidth="1"/>
    <x:col min="9" max="9" width="32" hidden="0" customWidth="1"/>
    <x:col min="10" max="10" width="34" hidden="0" customWidth="1"/>
    <x:col min="11" max="11" width="22" hidden="0" customWidth="1"/>
  </x:cols>
  <x:sheetData>
    <x:row r="2">
      <x:c r="A2" s="94" t="str">
        <x:v>Weekly Action View</x:v>
      </x:c>
      <x:c r="B2" s="95"/>
      <x:c r="C2" s="95"/>
      <x:c r="D2" s="95"/>
      <x:c r="E2" s="95"/>
      <x:c r="F2" s="95"/>
      <x:c r="G2" s="95"/>
      <x:c r="H2" s="95"/>
      <x:c r="I2" s="95"/>
      <x:c r="J2" s="95"/>
      <x:c r="K2" s="95"/>
    </x:row>
    <x:row r="3">
      <x:c r="A3" s="96" t="str">
        <x:v>Active, late, at-risk, blocked, and near-term items; Not Needed and Complete items are excluded</x:v>
      </x:c>
      <x:c r="B3" s="96"/>
      <x:c r="C3" s="96"/>
      <x:c r="D3" s="96"/>
      <x:c r="E3" s="96"/>
      <x:c r="F3" s="96"/>
      <x:c r="G3" s="96"/>
      <x:c r="H3" s="96"/>
      <x:c r="I3" s="96"/>
      <x:c r="J3" s="96"/>
      <x:c r="K3" s="96"/>
    </x:row>
    <x:row r="4">
      <x:c r="A4" s="93"/>
      <x:c r="B4" s="93"/>
      <x:c r="C4" s="93"/>
      <x:c r="D4" s="93"/>
      <x:c r="E4" s="93"/>
      <x:c r="F4" s="93"/>
      <x:c r="G4" s="93"/>
      <x:c r="H4" s="93"/>
      <x:c r="I4" s="93"/>
      <x:c r="J4" s="93"/>
      <x:c r="K4" s="93"/>
    </x:row>
    <x:row r="5">
      <x:c r="A5" s="99" t="str">
        <x:v>Project Week</x:v>
      </x:c>
      <x:c r="B5" s="139" t="n">
        <x:f>'Overview'!B8</x:f>
        <x:v>1</x:v>
      </x:c>
      <x:c r="C5" s="93"/>
      <x:c r="D5" s="99" t="str">
        <x:v>Items Requiring Attention</x:v>
      </x:c>
      <x:c r="E5" s="140" t="n">
        <x:f>COUNT('Master Plan'!$P$7:$P$247)</x:f>
        <x:v>70</x:v>
      </x:c>
      <x:c r="F5" s="93"/>
      <x:c r="G5" s="98" t="str">
        <x:v>Maintenance</x:v>
      </x:c>
      <x:c r="H5" s="105" t="str">
        <x:v>Edit Status, Next Action, Blocker / Decision Needed, and ownership in the Master Plan.</x:v>
      </x:c>
      <x:c r="I5" s="105" t="str"/>
      <x:c r="J5" s="105" t="str"/>
      <x:c r="K5" s="105" t="str"/>
    </x:row>
    <x:row r="6">
      <x:c r="A6" s="93"/>
      <x:c r="B6" s="93"/>
      <x:c r="C6" s="93"/>
      <x:c r="D6" s="93"/>
      <x:c r="E6" s="93"/>
      <x:c r="F6" s="93"/>
      <x:c r="G6" s="93"/>
      <x:c r="H6" s="93"/>
      <x:c r="I6" s="93"/>
      <x:c r="J6" s="93"/>
      <x:c r="K6" s="93"/>
    </x:row>
    <x:row r="7" ht="30" customHeight="1">
      <x:c r="A7" s="9" t="str">
        <x:v>WBS ID</x:v>
      </x:c>
      <x:c r="B7" s="9" t="str">
        <x:v>Phase / Workstream</x:v>
      </x:c>
      <x:c r="C7" s="9" t="str">
        <x:v>Activity</x:v>
      </x:c>
      <x:c r="D7" s="9" t="str">
        <x:v>Accountable Owner</x:v>
      </x:c>
      <x:c r="E7" s="9" t="str">
        <x:v>Start Week</x:v>
      </x:c>
      <x:c r="F7" s="9" t="str">
        <x:v>End Week</x:v>
      </x:c>
      <x:c r="G7" s="9" t="str">
        <x:v>Status</x:v>
      </x:c>
      <x:c r="H7" s="9" t="str">
        <x:v>Schedule Health</x:v>
      </x:c>
      <x:c r="I7" s="9" t="str">
        <x:v>Next Action</x:v>
      </x:c>
      <x:c r="J7" s="9" t="str">
        <x:v>Blocker / Decision Needed</x:v>
      </x:c>
      <x:c r="K7" s="9" t="str">
        <x:v>Supporting Teams</x:v>
      </x:c>
    </x:row>
    <x:row r="8" ht="25" customHeight="1">
      <x:c r="A8" s="21" t="str">
        <x:f>IF(ROWS($A$8:A8)&gt;COUNT('Master Plan'!$P$7:$P$247),"",INDEX('Master Plan'!$A$7:$A$247,MATCH(ROWS($A$8:A8),'Master Plan'!$P$7:$P$247,0)))</x:f>
        <x:v>​1.1</x:v>
      </x:c>
      <x:c r="B8" s="18" t="str">
        <x:f>IF($A8="","",INDEX('Master Plan'!$B$7:$B$247,MATCH($A8,'Master Plan'!$A$7:$A$247,0)))</x:f>
        <x:v>Project Initiation</x:v>
      </x:c>
      <x:c r="C8" s="18" t="str">
        <x:f>IF($A8="","",INDEX('Master Plan'!$C$7:$C$247,MATCH($A8,'Master Plan'!$A$7:$A$247,0)))</x:f>
        <x:v>Confirm business sponsor</x:v>
      </x:c>
      <x:c r="D8" s="18" t="str">
        <x:f>IF($A8="","",INDEX('Master Plan'!$D$7:$D$247,MATCH($A8,'Master Plan'!$A$7:$A$247,0)))</x:f>
        <x:v>Client</x:v>
      </x:c>
      <x:c r="E8" s="23" t="n">
        <x:f>IF($A8="","",INDEX('Master Plan'!$E$7:$E$247,MATCH($A8,'Master Plan'!$A$7:$A$247,0)))</x:f>
        <x:v>1</x:v>
      </x:c>
      <x:c r="F8" s="23" t="n">
        <x:f>IF($A8="","",INDEX('Master Plan'!$F$7:$F$247,MATCH($A8,'Master Plan'!$A$7:$A$247,0)))</x:f>
        <x:v>1</x:v>
      </x:c>
      <x:c r="G8" s="23" t="str">
        <x:f>IF($A8="","",INDEX('Master Plan'!$G$7:$G$247,MATCH($A8,'Master Plan'!$A$7:$A$247,0)))</x:f>
        <x:v>Not Started</x:v>
      </x:c>
      <x:c r="H8" s="23" t="str">
        <x:f>IF($A8="","",INDEX('Master Plan'!$H$7:$H$247,MATCH($A8,'Master Plan'!$A$7:$A$247,0)))</x:f>
        <x:v>Due Soon</x:v>
      </x:c>
      <x:c r="I8" s="27" t="str">
        <x:f>IF($A8="","",INDEX('Master Plan'!$I$7:$I$247,MATCH($A8,'Master Plan'!$A$7:$A$247,0)))</x:f>
      </x:c>
      <x:c r="J8" s="27" t="str">
        <x:f>IF($A8="","",INDEX('Master Plan'!$J$7:$J$247,MATCH($A8,'Master Plan'!$A$7:$A$247,0)))</x:f>
      </x:c>
      <x:c r="K8" s="27" t="str">
        <x:f>IF($A8="","",INDEX('Master Plan'!$K$7:$K$247,MATCH($A8,'Master Plan'!$A$7:$A$247,0)))</x:f>
      </x:c>
    </x:row>
    <x:row r="9" ht="25" customHeight="1">
      <x:c r="A9" s="21" t="str">
        <x:f>IF(ROWS($A$8:A9)&gt;COUNT('Master Plan'!$P$7:$P$247),"",INDEX('Master Plan'!$A$7:$A$247,MATCH(ROWS($A$8:A9),'Master Plan'!$P$7:$P$247,0)))</x:f>
        <x:v>​1.2</x:v>
      </x:c>
      <x:c r="B9" s="18" t="str">
        <x:f>IF($A9="","",INDEX('Master Plan'!$B$7:$B$247,MATCH($A9,'Master Plan'!$A$7:$A$247,0)))</x:f>
        <x:v>Project Initiation</x:v>
      </x:c>
      <x:c r="C9" s="18" t="str">
        <x:f>IF($A9="","",INDEX('Master Plan'!$C$7:$C$247,MATCH($A9,'Master Plan'!$A$7:$A$247,0)))</x:f>
        <x:v>Assign client project manager</x:v>
      </x:c>
      <x:c r="D9" s="18" t="str">
        <x:f>IF($A9="","",INDEX('Master Plan'!$D$7:$D$247,MATCH($A9,'Master Plan'!$A$7:$A$247,0)))</x:f>
        <x:v>Client</x:v>
      </x:c>
      <x:c r="E9" s="23" t="n">
        <x:f>IF($A9="","",INDEX('Master Plan'!$E$7:$E$247,MATCH($A9,'Master Plan'!$A$7:$A$247,0)))</x:f>
        <x:v>1</x:v>
      </x:c>
      <x:c r="F9" s="23" t="n">
        <x:f>IF($A9="","",INDEX('Master Plan'!$F$7:$F$247,MATCH($A9,'Master Plan'!$A$7:$A$247,0)))</x:f>
        <x:v>1</x:v>
      </x:c>
      <x:c r="G9" s="23" t="str">
        <x:f>IF($A9="","",INDEX('Master Plan'!$G$7:$G$247,MATCH($A9,'Master Plan'!$A$7:$A$247,0)))</x:f>
        <x:v>Not Started</x:v>
      </x:c>
      <x:c r="H9" s="23" t="str">
        <x:f>IF($A9="","",INDEX('Master Plan'!$H$7:$H$247,MATCH($A9,'Master Plan'!$A$7:$A$247,0)))</x:f>
        <x:v>Due Soon</x:v>
      </x:c>
      <x:c r="I9" s="27" t="str">
        <x:f>IF($A9="","",INDEX('Master Plan'!$I$7:$I$247,MATCH($A9,'Master Plan'!$A$7:$A$247,0)))</x:f>
      </x:c>
      <x:c r="J9" s="27" t="str">
        <x:f>IF($A9="","",INDEX('Master Plan'!$J$7:$J$247,MATCH($A9,'Master Plan'!$A$7:$A$247,0)))</x:f>
      </x:c>
      <x:c r="K9" s="27" t="str">
        <x:f>IF($A9="","",INDEX('Master Plan'!$K$7:$K$247,MATCH($A9,'Master Plan'!$A$7:$A$247,0)))</x:f>
      </x:c>
    </x:row>
    <x:row r="10" ht="25" customHeight="1">
      <x:c r="A10" s="21" t="str">
        <x:f>IF(ROWS($A$8:A10)&gt;COUNT('Master Plan'!$P$7:$P$247),"",INDEX('Master Plan'!$A$7:$A$247,MATCH(ROWS($A$8:A10),'Master Plan'!$P$7:$P$247,0)))</x:f>
        <x:v>​1.3</x:v>
      </x:c>
      <x:c r="B10" s="18" t="str">
        <x:f>IF($A10="","",INDEX('Master Plan'!$B$7:$B$247,MATCH($A10,'Master Plan'!$A$7:$A$247,0)))</x:f>
        <x:v>Project Initiation</x:v>
      </x:c>
      <x:c r="C10" s="18" t="str">
        <x:f>IF($A10="","",INDEX('Master Plan'!$C$7:$C$247,MATCH($A10,'Master Plan'!$A$7:$A$247,0)))</x:f>
        <x:v>Assign Digital/Product lead</x:v>
      </x:c>
      <x:c r="D10" s="18" t="str">
        <x:f>IF($A10="","",INDEX('Master Plan'!$D$7:$D$247,MATCH($A10,'Master Plan'!$A$7:$A$247,0)))</x:f>
        <x:v>Client</x:v>
      </x:c>
      <x:c r="E10" s="23" t="n">
        <x:f>IF($A10="","",INDEX('Master Plan'!$E$7:$E$247,MATCH($A10,'Master Plan'!$A$7:$A$247,0)))</x:f>
        <x:v>1</x:v>
      </x:c>
      <x:c r="F10" s="23" t="n">
        <x:f>IF($A10="","",INDEX('Master Plan'!$F$7:$F$247,MATCH($A10,'Master Plan'!$A$7:$A$247,0)))</x:f>
        <x:v>1</x:v>
      </x:c>
      <x:c r="G10" s="23" t="str">
        <x:f>IF($A10="","",INDEX('Master Plan'!$G$7:$G$247,MATCH($A10,'Master Plan'!$A$7:$A$247,0)))</x:f>
        <x:v>Not Started</x:v>
      </x:c>
      <x:c r="H10" s="23" t="str">
        <x:f>IF($A10="","",INDEX('Master Plan'!$H$7:$H$247,MATCH($A10,'Master Plan'!$A$7:$A$247,0)))</x:f>
        <x:v>Due Soon</x:v>
      </x:c>
      <x:c r="I10" s="27" t="str">
        <x:f>IF($A10="","",INDEX('Master Plan'!$I$7:$I$247,MATCH($A10,'Master Plan'!$A$7:$A$247,0)))</x:f>
      </x:c>
      <x:c r="J10" s="27" t="str">
        <x:f>IF($A10="","",INDEX('Master Plan'!$J$7:$J$247,MATCH($A10,'Master Plan'!$A$7:$A$247,0)))</x:f>
      </x:c>
      <x:c r="K10" s="27" t="str">
        <x:f>IF($A10="","",INDEX('Master Plan'!$K$7:$K$247,MATCH($A10,'Master Plan'!$A$7:$A$247,0)))</x:f>
      </x:c>
    </x:row>
    <x:row r="11" ht="25" customHeight="1">
      <x:c r="A11" s="21" t="str">
        <x:f>IF(ROWS($A$8:A11)&gt;COUNT('Master Plan'!$P$7:$P$247),"",INDEX('Master Plan'!$A$7:$A$247,MATCH(ROWS($A$8:A11),'Master Plan'!$P$7:$P$247,0)))</x:f>
        <x:v>​1.4</x:v>
      </x:c>
      <x:c r="B11" s="18" t="str">
        <x:f>IF($A11="","",INDEX('Master Plan'!$B$7:$B$247,MATCH($A11,'Master Plan'!$A$7:$A$247,0)))</x:f>
        <x:v>Project Initiation</x:v>
      </x:c>
      <x:c r="C11" s="18" t="str">
        <x:f>IF($A11="","",INDEX('Master Plan'!$C$7:$C$247,MATCH($A11,'Master Plan'!$A$7:$A$247,0)))</x:f>
        <x:v>Confirm Fiserv implementation contacts</x:v>
      </x:c>
      <x:c r="D11" s="18" t="str">
        <x:f>IF($A11="","",INDEX('Master Plan'!$D$7:$D$247,MATCH($A11,'Master Plan'!$A$7:$A$247,0)))</x:f>
        <x:v>Fiserv</x:v>
      </x:c>
      <x:c r="E11" s="23" t="n">
        <x:f>IF($A11="","",INDEX('Master Plan'!$E$7:$E$247,MATCH($A11,'Master Plan'!$A$7:$A$247,0)))</x:f>
        <x:v>1</x:v>
      </x:c>
      <x:c r="F11" s="23" t="n">
        <x:f>IF($A11="","",INDEX('Master Plan'!$F$7:$F$247,MATCH($A11,'Master Plan'!$A$7:$A$247,0)))</x:f>
        <x:v>1</x:v>
      </x:c>
      <x:c r="G11" s="23" t="str">
        <x:f>IF($A11="","",INDEX('Master Plan'!$G$7:$G$247,MATCH($A11,'Master Plan'!$A$7:$A$247,0)))</x:f>
        <x:v>Not Started</x:v>
      </x:c>
      <x:c r="H11" s="23" t="str">
        <x:f>IF($A11="","",INDEX('Master Plan'!$H$7:$H$247,MATCH($A11,'Master Plan'!$A$7:$A$247,0)))</x:f>
        <x:v>Due Soon</x:v>
      </x:c>
      <x:c r="I11" s="27" t="str">
        <x:f>IF($A11="","",INDEX('Master Plan'!$I$7:$I$247,MATCH($A11,'Master Plan'!$A$7:$A$247,0)))</x:f>
      </x:c>
      <x:c r="J11" s="27" t="str">
        <x:f>IF($A11="","",INDEX('Master Plan'!$J$7:$J$247,MATCH($A11,'Master Plan'!$A$7:$A$247,0)))</x:f>
      </x:c>
      <x:c r="K11" s="27" t="str">
        <x:f>IF($A11="","",INDEX('Master Plan'!$K$7:$K$247,MATCH($A11,'Master Plan'!$A$7:$A$247,0)))</x:f>
      </x:c>
    </x:row>
    <x:row r="12" ht="25" customHeight="1">
      <x:c r="A12" s="21" t="str">
        <x:f>IF(ROWS($A$8:A12)&gt;COUNT('Master Plan'!$P$7:$P$247),"",INDEX('Master Plan'!$A$7:$A$247,MATCH(ROWS($A$8:A12),'Master Plan'!$P$7:$P$247,0)))</x:f>
        <x:v>​1.5</x:v>
      </x:c>
      <x:c r="B12" s="18" t="str">
        <x:f>IF($A12="","",INDEX('Master Plan'!$B$7:$B$247,MATCH($A12,'Master Plan'!$A$7:$A$247,0)))</x:f>
        <x:v>Project Initiation</x:v>
      </x:c>
      <x:c r="C12" s="18" t="str">
        <x:f>IF($A12="","",INDEX('Master Plan'!$C$7:$C$247,MATCH($A12,'Master Plan'!$A$7:$A$247,0)))</x:f>
        <x:v>Confirm SavvyMoney implementation contacts</x:v>
      </x:c>
      <x:c r="D12" s="18" t="str">
        <x:f>IF($A12="","",INDEX('Master Plan'!$D$7:$D$247,MATCH($A12,'Master Plan'!$A$7:$A$247,0)))</x:f>
        <x:v>SavvyMoney</x:v>
      </x:c>
      <x:c r="E12" s="23" t="n">
        <x:f>IF($A12="","",INDEX('Master Plan'!$E$7:$E$247,MATCH($A12,'Master Plan'!$A$7:$A$247,0)))</x:f>
        <x:v>1</x:v>
      </x:c>
      <x:c r="F12" s="23" t="n">
        <x:f>IF($A12="","",INDEX('Master Plan'!$F$7:$F$247,MATCH($A12,'Master Plan'!$A$7:$A$247,0)))</x:f>
        <x:v>1</x:v>
      </x:c>
      <x:c r="G12" s="23" t="str">
        <x:f>IF($A12="","",INDEX('Master Plan'!$G$7:$G$247,MATCH($A12,'Master Plan'!$A$7:$A$247,0)))</x:f>
        <x:v>Not Started</x:v>
      </x:c>
      <x:c r="H12" s="23" t="str">
        <x:f>IF($A12="","",INDEX('Master Plan'!$H$7:$H$247,MATCH($A12,'Master Plan'!$A$7:$A$247,0)))</x:f>
        <x:v>Due Soon</x:v>
      </x:c>
      <x:c r="I12" s="27" t="str">
        <x:f>IF($A12="","",INDEX('Master Plan'!$I$7:$I$247,MATCH($A12,'Master Plan'!$A$7:$A$247,0)))</x:f>
      </x:c>
      <x:c r="J12" s="27" t="str">
        <x:f>IF($A12="","",INDEX('Master Plan'!$J$7:$J$247,MATCH($A12,'Master Plan'!$A$7:$A$247,0)))</x:f>
      </x:c>
      <x:c r="K12" s="27" t="str">
        <x:f>IF($A12="","",INDEX('Master Plan'!$K$7:$K$247,MATCH($A12,'Master Plan'!$A$7:$A$247,0)))</x:f>
      </x:c>
    </x:row>
    <x:row r="13" ht="25" customHeight="1">
      <x:c r="A13" s="21" t="str">
        <x:f>IF(ROWS($A$8:A13)&gt;COUNT('Master Plan'!$P$7:$P$247),"",INDEX('Master Plan'!$A$7:$A$247,MATCH(ROWS($A$8:A13),'Master Plan'!$P$7:$P$247,0)))</x:f>
        <x:v>​1.6</x:v>
      </x:c>
      <x:c r="B13" s="18" t="str">
        <x:f>IF($A13="","",INDEX('Master Plan'!$B$7:$B$247,MATCH($A13,'Master Plan'!$A$7:$A$247,0)))</x:f>
        <x:v>Project Initiation</x:v>
      </x:c>
      <x:c r="C13" s="18" t="str">
        <x:f>IF($A13="","",INDEX('Master Plan'!$C$7:$C$247,MATCH($A13,'Master Plan'!$A$7:$A$247,0)))</x:f>
        <x:v>Identify technical/integration resources</x:v>
      </x:c>
      <x:c r="D13" s="18" t="str">
        <x:f>IF($A13="","",INDEX('Master Plan'!$D$7:$D$247,MATCH($A13,'Master Plan'!$A$7:$A$247,0)))</x:f>
        <x:v>Client</x:v>
      </x:c>
      <x:c r="E13" s="23" t="n">
        <x:f>IF($A13="","",INDEX('Master Plan'!$E$7:$E$247,MATCH($A13,'Master Plan'!$A$7:$A$247,0)))</x:f>
        <x:v>1</x:v>
      </x:c>
      <x:c r="F13" s="23" t="n">
        <x:f>IF($A13="","",INDEX('Master Plan'!$F$7:$F$247,MATCH($A13,'Master Plan'!$A$7:$A$247,0)))</x:f>
        <x:v>1</x:v>
      </x:c>
      <x:c r="G13" s="23" t="str">
        <x:f>IF($A13="","",INDEX('Master Plan'!$G$7:$G$247,MATCH($A13,'Master Plan'!$A$7:$A$247,0)))</x:f>
        <x:v>Not Started</x:v>
      </x:c>
      <x:c r="H13" s="23" t="str">
        <x:f>IF($A13="","",INDEX('Master Plan'!$H$7:$H$247,MATCH($A13,'Master Plan'!$A$7:$A$247,0)))</x:f>
        <x:v>Due Soon</x:v>
      </x:c>
      <x:c r="I13" s="27" t="str">
        <x:f>IF($A13="","",INDEX('Master Plan'!$I$7:$I$247,MATCH($A13,'Master Plan'!$A$7:$A$247,0)))</x:f>
      </x:c>
      <x:c r="J13" s="27" t="str">
        <x:f>IF($A13="","",INDEX('Master Plan'!$J$7:$J$247,MATCH($A13,'Master Plan'!$A$7:$A$247,0)))</x:f>
      </x:c>
      <x:c r="K13" s="27" t="str">
        <x:f>IF($A13="","",INDEX('Master Plan'!$K$7:$K$247,MATCH($A13,'Master Plan'!$A$7:$A$247,0)))</x:f>
      </x:c>
    </x:row>
    <x:row r="14" ht="25" customHeight="1">
      <x:c r="A14" s="21" t="str">
        <x:f>IF(ROWS($A$8:A14)&gt;COUNT('Master Plan'!$P$7:$P$247),"",INDEX('Master Plan'!$A$7:$A$247,MATCH(ROWS($A$8:A14),'Master Plan'!$P$7:$P$247,0)))</x:f>
        <x:v>​1.7</x:v>
      </x:c>
      <x:c r="B14" s="18" t="str">
        <x:f>IF($A14="","",INDEX('Master Plan'!$B$7:$B$247,MATCH($A14,'Master Plan'!$A$7:$A$247,0)))</x:f>
        <x:v>Project Initiation</x:v>
      </x:c>
      <x:c r="C14" s="18" t="str">
        <x:f>IF($A14="","",INDEX('Master Plan'!$C$7:$C$247,MATCH($A14,'Master Plan'!$A$7:$A$247,0)))</x:f>
        <x:v>Identify Security/InfoSec resources</x:v>
      </x:c>
      <x:c r="D14" s="18" t="str">
        <x:f>IF($A14="","",INDEX('Master Plan'!$D$7:$D$247,MATCH($A14,'Master Plan'!$A$7:$A$247,0)))</x:f>
        <x:v>Client</x:v>
      </x:c>
      <x:c r="E14" s="23" t="n">
        <x:f>IF($A14="","",INDEX('Master Plan'!$E$7:$E$247,MATCH($A14,'Master Plan'!$A$7:$A$247,0)))</x:f>
        <x:v>1</x:v>
      </x:c>
      <x:c r="F14" s="23" t="n">
        <x:f>IF($A14="","",INDEX('Master Plan'!$F$7:$F$247,MATCH($A14,'Master Plan'!$A$7:$A$247,0)))</x:f>
        <x:v>1</x:v>
      </x:c>
      <x:c r="G14" s="23" t="str">
        <x:f>IF($A14="","",INDEX('Master Plan'!$G$7:$G$247,MATCH($A14,'Master Plan'!$A$7:$A$247,0)))</x:f>
        <x:v>Not Started</x:v>
      </x:c>
      <x:c r="H14" s="23" t="str">
        <x:f>IF($A14="","",INDEX('Master Plan'!$H$7:$H$247,MATCH($A14,'Master Plan'!$A$7:$A$247,0)))</x:f>
        <x:v>Due Soon</x:v>
      </x:c>
      <x:c r="I14" s="27" t="str">
        <x:f>IF($A14="","",INDEX('Master Plan'!$I$7:$I$247,MATCH($A14,'Master Plan'!$A$7:$A$247,0)))</x:f>
      </x:c>
      <x:c r="J14" s="27" t="str">
        <x:f>IF($A14="","",INDEX('Master Plan'!$J$7:$J$247,MATCH($A14,'Master Plan'!$A$7:$A$247,0)))</x:f>
      </x:c>
      <x:c r="K14" s="27" t="str">
        <x:f>IF($A14="","",INDEX('Master Plan'!$K$7:$K$247,MATCH($A14,'Master Plan'!$A$7:$A$247,0)))</x:f>
      </x:c>
    </x:row>
    <x:row r="15" ht="25" customHeight="1">
      <x:c r="A15" s="21" t="str">
        <x:f>IF(ROWS($A$8:A15)&gt;COUNT('Master Plan'!$P$7:$P$247),"",INDEX('Master Plan'!$A$7:$A$247,MATCH(ROWS($A$8:A15),'Master Plan'!$P$7:$P$247,0)))</x:f>
        <x:v>​1.8</x:v>
      </x:c>
      <x:c r="B15" s="18" t="str">
        <x:f>IF($A15="","",INDEX('Master Plan'!$B$7:$B$247,MATCH($A15,'Master Plan'!$A$7:$A$247,0)))</x:f>
        <x:v>Project Initiation</x:v>
      </x:c>
      <x:c r="C15" s="18" t="str">
        <x:f>IF($A15="","",INDEX('Master Plan'!$C$7:$C$247,MATCH($A15,'Master Plan'!$A$7:$A$247,0)))</x:f>
        <x:v>Identify Legal/Compliance resources</x:v>
      </x:c>
      <x:c r="D15" s="18" t="str">
        <x:f>IF($A15="","",INDEX('Master Plan'!$D$7:$D$247,MATCH($A15,'Master Plan'!$A$7:$A$247,0)))</x:f>
        <x:v>Client</x:v>
      </x:c>
      <x:c r="E15" s="23" t="n">
        <x:f>IF($A15="","",INDEX('Master Plan'!$E$7:$E$247,MATCH($A15,'Master Plan'!$A$7:$A$247,0)))</x:f>
        <x:v>1</x:v>
      </x:c>
      <x:c r="F15" s="23" t="n">
        <x:f>IF($A15="","",INDEX('Master Plan'!$F$7:$F$247,MATCH($A15,'Master Plan'!$A$7:$A$247,0)))</x:f>
        <x:v>1</x:v>
      </x:c>
      <x:c r="G15" s="23" t="str">
        <x:f>IF($A15="","",INDEX('Master Plan'!$G$7:$G$247,MATCH($A15,'Master Plan'!$A$7:$A$247,0)))</x:f>
        <x:v>Not Started</x:v>
      </x:c>
      <x:c r="H15" s="23" t="str">
        <x:f>IF($A15="","",INDEX('Master Plan'!$H$7:$H$247,MATCH($A15,'Master Plan'!$A$7:$A$247,0)))</x:f>
        <x:v>Due Soon</x:v>
      </x:c>
      <x:c r="I15" s="27" t="str">
        <x:f>IF($A15="","",INDEX('Master Plan'!$I$7:$I$247,MATCH($A15,'Master Plan'!$A$7:$A$247,0)))</x:f>
      </x:c>
      <x:c r="J15" s="27" t="str">
        <x:f>IF($A15="","",INDEX('Master Plan'!$J$7:$J$247,MATCH($A15,'Master Plan'!$A$7:$A$247,0)))</x:f>
      </x:c>
      <x:c r="K15" s="27" t="str">
        <x:f>IF($A15="","",INDEX('Master Plan'!$K$7:$K$247,MATCH($A15,'Master Plan'!$A$7:$A$247,0)))</x:f>
      </x:c>
    </x:row>
    <x:row r="16" ht="25" customHeight="1">
      <x:c r="A16" s="21" t="str">
        <x:f>IF(ROWS($A$8:A16)&gt;COUNT('Master Plan'!$P$7:$P$247),"",INDEX('Master Plan'!$A$7:$A$247,MATCH(ROWS($A$8:A16),'Master Plan'!$P$7:$P$247,0)))</x:f>
        <x:v>​1.9</x:v>
      </x:c>
      <x:c r="B16" s="18" t="str">
        <x:f>IF($A16="","",INDEX('Master Plan'!$B$7:$B$247,MATCH($A16,'Master Plan'!$A$7:$A$247,0)))</x:f>
        <x:v>Project Initiation</x:v>
      </x:c>
      <x:c r="C16" s="18" t="str">
        <x:f>IF($A16="","",INDEX('Master Plan'!$C$7:$C$247,MATCH($A16,'Master Plan'!$A$7:$A$247,0)))</x:f>
        <x:v>Identify Marketing/Comms resources</x:v>
      </x:c>
      <x:c r="D16" s="18" t="str">
        <x:f>IF($A16="","",INDEX('Master Plan'!$D$7:$D$247,MATCH($A16,'Master Plan'!$A$7:$A$247,0)))</x:f>
        <x:v>Client</x:v>
      </x:c>
      <x:c r="E16" s="23" t="n">
        <x:f>IF($A16="","",INDEX('Master Plan'!$E$7:$E$247,MATCH($A16,'Master Plan'!$A$7:$A$247,0)))</x:f>
        <x:v>1</x:v>
      </x:c>
      <x:c r="F16" s="23" t="n">
        <x:f>IF($A16="","",INDEX('Master Plan'!$F$7:$F$247,MATCH($A16,'Master Plan'!$A$7:$A$247,0)))</x:f>
        <x:v>1</x:v>
      </x:c>
      <x:c r="G16" s="23" t="str">
        <x:f>IF($A16="","",INDEX('Master Plan'!$G$7:$G$247,MATCH($A16,'Master Plan'!$A$7:$A$247,0)))</x:f>
        <x:v>Not Started</x:v>
      </x:c>
      <x:c r="H16" s="23" t="str">
        <x:f>IF($A16="","",INDEX('Master Plan'!$H$7:$H$247,MATCH($A16,'Master Plan'!$A$7:$A$247,0)))</x:f>
        <x:v>Due Soon</x:v>
      </x:c>
      <x:c r="I16" s="27" t="str">
        <x:f>IF($A16="","",INDEX('Master Plan'!$I$7:$I$247,MATCH($A16,'Master Plan'!$A$7:$A$247,0)))</x:f>
      </x:c>
      <x:c r="J16" s="27" t="str">
        <x:f>IF($A16="","",INDEX('Master Plan'!$J$7:$J$247,MATCH($A16,'Master Plan'!$A$7:$A$247,0)))</x:f>
      </x:c>
      <x:c r="K16" s="27" t="str">
        <x:f>IF($A16="","",INDEX('Master Plan'!$K$7:$K$247,MATCH($A16,'Master Plan'!$A$7:$A$247,0)))</x:f>
      </x:c>
    </x:row>
    <x:row r="17" ht="25" customHeight="1">
      <x:c r="A17" s="21" t="str">
        <x:f>IF(ROWS($A$8:A17)&gt;COUNT('Master Plan'!$P$7:$P$247),"",INDEX('Master Plan'!$A$7:$A$247,MATCH(ROWS($A$8:A17),'Master Plan'!$P$7:$P$247,0)))</x:f>
        <x:v>​1.10</x:v>
      </x:c>
      <x:c r="B17" s="18" t="str">
        <x:f>IF($A17="","",INDEX('Master Plan'!$B$7:$B$247,MATCH($A17,'Master Plan'!$A$7:$A$247,0)))</x:f>
        <x:v>Project Initiation</x:v>
      </x:c>
      <x:c r="C17" s="18" t="str">
        <x:f>IF($A17="","",INDEX('Master Plan'!$C$7:$C$247,MATCH($A17,'Master Plan'!$A$7:$A$247,0)))</x:f>
        <x:v>Identify Operations/Support resources</x:v>
      </x:c>
      <x:c r="D17" s="18" t="str">
        <x:f>IF($A17="","",INDEX('Master Plan'!$D$7:$D$247,MATCH($A17,'Master Plan'!$A$7:$A$247,0)))</x:f>
        <x:v>Client</x:v>
      </x:c>
      <x:c r="E17" s="23" t="n">
        <x:f>IF($A17="","",INDEX('Master Plan'!$E$7:$E$247,MATCH($A17,'Master Plan'!$A$7:$A$247,0)))</x:f>
        <x:v>1</x:v>
      </x:c>
      <x:c r="F17" s="23" t="n">
        <x:f>IF($A17="","",INDEX('Master Plan'!$F$7:$F$247,MATCH($A17,'Master Plan'!$A$7:$A$247,0)))</x:f>
        <x:v>1</x:v>
      </x:c>
      <x:c r="G17" s="23" t="str">
        <x:f>IF($A17="","",INDEX('Master Plan'!$G$7:$G$247,MATCH($A17,'Master Plan'!$A$7:$A$247,0)))</x:f>
        <x:v>Not Started</x:v>
      </x:c>
      <x:c r="H17" s="23" t="str">
        <x:f>IF($A17="","",INDEX('Master Plan'!$H$7:$H$247,MATCH($A17,'Master Plan'!$A$7:$A$247,0)))</x:f>
        <x:v>Due Soon</x:v>
      </x:c>
      <x:c r="I17" s="27" t="str">
        <x:f>IF($A17="","",INDEX('Master Plan'!$I$7:$I$247,MATCH($A17,'Master Plan'!$A$7:$A$247,0)))</x:f>
      </x:c>
      <x:c r="J17" s="27" t="str">
        <x:f>IF($A17="","",INDEX('Master Plan'!$J$7:$J$247,MATCH($A17,'Master Plan'!$A$7:$A$247,0)))</x:f>
      </x:c>
      <x:c r="K17" s="27" t="str">
        <x:f>IF($A17="","",INDEX('Master Plan'!$K$7:$K$247,MATCH($A17,'Master Plan'!$A$7:$A$247,0)))</x:f>
      </x:c>
    </x:row>
    <x:row r="18" ht="25" customHeight="1">
      <x:c r="A18" s="21" t="str">
        <x:f>IF(ROWS($A$8:A18)&gt;COUNT('Master Plan'!$P$7:$P$247),"",INDEX('Master Plan'!$A$7:$A$247,MATCH(ROWS($A$8:A18),'Master Plan'!$P$7:$P$247,0)))</x:f>
        <x:v>​1.11</x:v>
      </x:c>
      <x:c r="B18" s="18" t="str">
        <x:f>IF($A18="","",INDEX('Master Plan'!$B$7:$B$247,MATCH($A18,'Master Plan'!$A$7:$A$247,0)))</x:f>
        <x:v>Project Initiation</x:v>
      </x:c>
      <x:c r="C18" s="18" t="str">
        <x:f>IF($A18="","",INDEX('Master Plan'!$C$7:$C$247,MATCH($A18,'Master Plan'!$A$7:$A$247,0)))</x:f>
        <x:v>Confirm project scope</x:v>
      </x:c>
      <x:c r="D18" s="18" t="str">
        <x:f>IF($A18="","",INDEX('Master Plan'!$D$7:$D$247,MATCH($A18,'Master Plan'!$A$7:$A$247,0)))</x:f>
        <x:v>Product</x:v>
      </x:c>
      <x:c r="E18" s="23" t="n">
        <x:f>IF($A18="","",INDEX('Master Plan'!$E$7:$E$247,MATCH($A18,'Master Plan'!$A$7:$A$247,0)))</x:f>
        <x:v>1</x:v>
      </x:c>
      <x:c r="F18" s="23" t="n">
        <x:f>IF($A18="","",INDEX('Master Plan'!$F$7:$F$247,MATCH($A18,'Master Plan'!$A$7:$A$247,0)))</x:f>
        <x:v>1</x:v>
      </x:c>
      <x:c r="G18" s="23" t="str">
        <x:f>IF($A18="","",INDEX('Master Plan'!$G$7:$G$247,MATCH($A18,'Master Plan'!$A$7:$A$247,0)))</x:f>
        <x:v>Not Started</x:v>
      </x:c>
      <x:c r="H18" s="23" t="str">
        <x:f>IF($A18="","",INDEX('Master Plan'!$H$7:$H$247,MATCH($A18,'Master Plan'!$A$7:$A$247,0)))</x:f>
        <x:v>Due Soon</x:v>
      </x:c>
      <x:c r="I18" s="27" t="str">
        <x:f>IF($A18="","",INDEX('Master Plan'!$I$7:$I$247,MATCH($A18,'Master Plan'!$A$7:$A$247,0)))</x:f>
      </x:c>
      <x:c r="J18" s="27" t="str">
        <x:f>IF($A18="","",INDEX('Master Plan'!$J$7:$J$247,MATCH($A18,'Master Plan'!$A$7:$A$247,0)))</x:f>
      </x:c>
      <x:c r="K18" s="27" t="str">
        <x:f>IF($A18="","",INDEX('Master Plan'!$K$7:$K$247,MATCH($A18,'Master Plan'!$A$7:$A$247,0)))</x:f>
        <x:v>PM</x:v>
      </x:c>
    </x:row>
    <x:row r="19" ht="25" customHeight="1">
      <x:c r="A19" s="21" t="str">
        <x:f>IF(ROWS($A$8:A19)&gt;COUNT('Master Plan'!$P$7:$P$247),"",INDEX('Master Plan'!$A$7:$A$247,MATCH(ROWS($A$8:A19),'Master Plan'!$P$7:$P$247,0)))</x:f>
        <x:v>​1.12</x:v>
      </x:c>
      <x:c r="B19" s="18" t="str">
        <x:f>IF($A19="","",INDEX('Master Plan'!$B$7:$B$247,MATCH($A19,'Master Plan'!$A$7:$A$247,0)))</x:f>
        <x:v>Project Initiation</x:v>
      </x:c>
      <x:c r="C19" s="18" t="str">
        <x:f>IF($A19="","",INDEX('Master Plan'!$C$7:$C$247,MATCH($A19,'Master Plan'!$A$7:$A$247,0)))</x:f>
        <x:v>Define in-scope Credit Sense capabilities</x:v>
      </x:c>
      <x:c r="D19" s="18" t="str">
        <x:f>IF($A19="","",INDEX('Master Plan'!$D$7:$D$247,MATCH($A19,'Master Plan'!$A$7:$A$247,0)))</x:f>
        <x:v>Product</x:v>
      </x:c>
      <x:c r="E19" s="23" t="n">
        <x:f>IF($A19="","",INDEX('Master Plan'!$E$7:$E$247,MATCH($A19,'Master Plan'!$A$7:$A$247,0)))</x:f>
        <x:v>1</x:v>
      </x:c>
      <x:c r="F19" s="23" t="n">
        <x:f>IF($A19="","",INDEX('Master Plan'!$F$7:$F$247,MATCH($A19,'Master Plan'!$A$7:$A$247,0)))</x:f>
        <x:v>1</x:v>
      </x:c>
      <x:c r="G19" s="23" t="str">
        <x:f>IF($A19="","",INDEX('Master Plan'!$G$7:$G$247,MATCH($A19,'Master Plan'!$A$7:$A$247,0)))</x:f>
        <x:v>Not Started</x:v>
      </x:c>
      <x:c r="H19" s="23" t="str">
        <x:f>IF($A19="","",INDEX('Master Plan'!$H$7:$H$247,MATCH($A19,'Master Plan'!$A$7:$A$247,0)))</x:f>
        <x:v>Due Soon</x:v>
      </x:c>
      <x:c r="I19" s="27" t="str">
        <x:f>IF($A19="","",INDEX('Master Plan'!$I$7:$I$247,MATCH($A19,'Master Plan'!$A$7:$A$247,0)))</x:f>
      </x:c>
      <x:c r="J19" s="27" t="str">
        <x:f>IF($A19="","",INDEX('Master Plan'!$J$7:$J$247,MATCH($A19,'Master Plan'!$A$7:$A$247,0)))</x:f>
      </x:c>
      <x:c r="K19" s="27" t="str">
        <x:f>IF($A19="","",INDEX('Master Plan'!$K$7:$K$247,MATCH($A19,'Master Plan'!$A$7:$A$247,0)))</x:f>
      </x:c>
    </x:row>
    <x:row r="20" ht="25" customHeight="1">
      <x:c r="A20" s="21" t="str">
        <x:f>IF(ROWS($A$8:A20)&gt;COUNT('Master Plan'!$P$7:$P$247),"",INDEX('Master Plan'!$A$7:$A$247,MATCH(ROWS($A$8:A20),'Master Plan'!$P$7:$P$247,0)))</x:f>
        <x:v>​1.13</x:v>
      </x:c>
      <x:c r="B20" s="18" t="str">
        <x:f>IF($A20="","",INDEX('Master Plan'!$B$7:$B$247,MATCH($A20,'Master Plan'!$A$7:$A$247,0)))</x:f>
        <x:v>Project Initiation</x:v>
      </x:c>
      <x:c r="C20" s="18" t="str">
        <x:f>IF($A20="","",INDEX('Master Plan'!$C$7:$C$247,MATCH($A20,'Master Plan'!$A$7:$A$247,0)))</x:f>
        <x:v>Document out-of-scope capabilities</x:v>
      </x:c>
      <x:c r="D20" s="18" t="str">
        <x:f>IF($A20="","",INDEX('Master Plan'!$D$7:$D$247,MATCH($A20,'Master Plan'!$A$7:$A$247,0)))</x:f>
        <x:v>Product</x:v>
      </x:c>
      <x:c r="E20" s="23" t="n">
        <x:f>IF($A20="","",INDEX('Master Plan'!$E$7:$E$247,MATCH($A20,'Master Plan'!$A$7:$A$247,0)))</x:f>
        <x:v>1</x:v>
      </x:c>
      <x:c r="F20" s="23" t="n">
        <x:f>IF($A20="","",INDEX('Master Plan'!$F$7:$F$247,MATCH($A20,'Master Plan'!$A$7:$A$247,0)))</x:f>
        <x:v>1</x:v>
      </x:c>
      <x:c r="G20" s="23" t="str">
        <x:f>IF($A20="","",INDEX('Master Plan'!$G$7:$G$247,MATCH($A20,'Master Plan'!$A$7:$A$247,0)))</x:f>
        <x:v>Not Started</x:v>
      </x:c>
      <x:c r="H20" s="23" t="str">
        <x:f>IF($A20="","",INDEX('Master Plan'!$H$7:$H$247,MATCH($A20,'Master Plan'!$A$7:$A$247,0)))</x:f>
        <x:v>Due Soon</x:v>
      </x:c>
      <x:c r="I20" s="27" t="str">
        <x:f>IF($A20="","",INDEX('Master Plan'!$I$7:$I$247,MATCH($A20,'Master Plan'!$A$7:$A$247,0)))</x:f>
      </x:c>
      <x:c r="J20" s="27" t="str">
        <x:f>IF($A20="","",INDEX('Master Plan'!$J$7:$J$247,MATCH($A20,'Master Plan'!$A$7:$A$247,0)))</x:f>
      </x:c>
      <x:c r="K20" s="27" t="str">
        <x:f>IF($A20="","",INDEX('Master Plan'!$K$7:$K$247,MATCH($A20,'Master Plan'!$A$7:$A$247,0)))</x:f>
      </x:c>
    </x:row>
    <x:row r="21" ht="25" customHeight="1">
      <x:c r="A21" s="21" t="str">
        <x:f>IF(ROWS($A$8:A21)&gt;COUNT('Master Plan'!$P$7:$P$247),"",INDEX('Master Plan'!$A$7:$A$247,MATCH(ROWS($A$8:A21),'Master Plan'!$P$7:$P$247,0)))</x:f>
        <x:v>​1.14</x:v>
      </x:c>
      <x:c r="B21" s="18" t="str">
        <x:f>IF($A21="","",INDEX('Master Plan'!$B$7:$B$247,MATCH($A21,'Master Plan'!$A$7:$A$247,0)))</x:f>
        <x:v>Project Initiation</x:v>
      </x:c>
      <x:c r="C21" s="18" t="str">
        <x:f>IF($A21="","",INDEX('Master Plan'!$C$7:$C$247,MATCH($A21,'Master Plan'!$A$7:$A$247,0)))</x:f>
        <x:v>Define launch target</x:v>
      </x:c>
      <x:c r="D21" s="18" t="str">
        <x:f>IF($A21="","",INDEX('Master Plan'!$D$7:$D$247,MATCH($A21,'Master Plan'!$A$7:$A$247,0)))</x:f>
        <x:v>Sponsor</x:v>
      </x:c>
      <x:c r="E21" s="23" t="n">
        <x:f>IF($A21="","",INDEX('Master Plan'!$E$7:$E$247,MATCH($A21,'Master Plan'!$A$7:$A$247,0)))</x:f>
        <x:v>1</x:v>
      </x:c>
      <x:c r="F21" s="23" t="n">
        <x:f>IF($A21="","",INDEX('Master Plan'!$F$7:$F$247,MATCH($A21,'Master Plan'!$A$7:$A$247,0)))</x:f>
        <x:v>1</x:v>
      </x:c>
      <x:c r="G21" s="23" t="str">
        <x:f>IF($A21="","",INDEX('Master Plan'!$G$7:$G$247,MATCH($A21,'Master Plan'!$A$7:$A$247,0)))</x:f>
        <x:v>Not Started</x:v>
      </x:c>
      <x:c r="H21" s="23" t="str">
        <x:f>IF($A21="","",INDEX('Master Plan'!$H$7:$H$247,MATCH($A21,'Master Plan'!$A$7:$A$247,0)))</x:f>
        <x:v>Due Soon</x:v>
      </x:c>
      <x:c r="I21" s="27" t="str">
        <x:f>IF($A21="","",INDEX('Master Plan'!$I$7:$I$247,MATCH($A21,'Master Plan'!$A$7:$A$247,0)))</x:f>
      </x:c>
      <x:c r="J21" s="27" t="str">
        <x:f>IF($A21="","",INDEX('Master Plan'!$J$7:$J$247,MATCH($A21,'Master Plan'!$A$7:$A$247,0)))</x:f>
      </x:c>
      <x:c r="K21" s="27" t="str">
        <x:f>IF($A21="","",INDEX('Master Plan'!$K$7:$K$247,MATCH($A21,'Master Plan'!$A$7:$A$247,0)))</x:f>
        <x:v>PM</x:v>
      </x:c>
    </x:row>
    <x:row r="22" ht="25" customHeight="1">
      <x:c r="A22" s="21" t="str">
        <x:f>IF(ROWS($A$8:A22)&gt;COUNT('Master Plan'!$P$7:$P$247),"",INDEX('Master Plan'!$A$7:$A$247,MATCH(ROWS($A$8:A22),'Master Plan'!$P$7:$P$247,0)))</x:f>
        <x:v>​1.15</x:v>
      </x:c>
      <x:c r="B22" s="18" t="str">
        <x:f>IF($A22="","",INDEX('Master Plan'!$B$7:$B$247,MATCH($A22,'Master Plan'!$A$7:$A$247,0)))</x:f>
        <x:v>Project Initiation</x:v>
      </x:c>
      <x:c r="C22" s="18" t="str">
        <x:f>IF($A22="","",INDEX('Master Plan'!$C$7:$C$247,MATCH($A22,'Master Plan'!$A$7:$A$247,0)))</x:f>
        <x:v>Define project governance</x:v>
      </x:c>
      <x:c r="D22" s="18" t="str">
        <x:f>IF($A22="","",INDEX('Master Plan'!$D$7:$D$247,MATCH($A22,'Master Plan'!$A$7:$A$247,0)))</x:f>
        <x:v>PM</x:v>
      </x:c>
      <x:c r="E22" s="23" t="n">
        <x:f>IF($A22="","",INDEX('Master Plan'!$E$7:$E$247,MATCH($A22,'Master Plan'!$A$7:$A$247,0)))</x:f>
        <x:v>1</x:v>
      </x:c>
      <x:c r="F22" s="23" t="n">
        <x:f>IF($A22="","",INDEX('Master Plan'!$F$7:$F$247,MATCH($A22,'Master Plan'!$A$7:$A$247,0)))</x:f>
        <x:v>1</x:v>
      </x:c>
      <x:c r="G22" s="23" t="str">
        <x:f>IF($A22="","",INDEX('Master Plan'!$G$7:$G$247,MATCH($A22,'Master Plan'!$A$7:$A$247,0)))</x:f>
        <x:v>Not Started</x:v>
      </x:c>
      <x:c r="H22" s="23" t="str">
        <x:f>IF($A22="","",INDEX('Master Plan'!$H$7:$H$247,MATCH($A22,'Master Plan'!$A$7:$A$247,0)))</x:f>
        <x:v>Due Soon</x:v>
      </x:c>
      <x:c r="I22" s="27" t="str">
        <x:f>IF($A22="","",INDEX('Master Plan'!$I$7:$I$247,MATCH($A22,'Master Plan'!$A$7:$A$247,0)))</x:f>
      </x:c>
      <x:c r="J22" s="27" t="str">
        <x:f>IF($A22="","",INDEX('Master Plan'!$J$7:$J$247,MATCH($A22,'Master Plan'!$A$7:$A$247,0)))</x:f>
      </x:c>
      <x:c r="K22" s="27" t="str">
        <x:f>IF($A22="","",INDEX('Master Plan'!$K$7:$K$247,MATCH($A22,'Master Plan'!$A$7:$A$247,0)))</x:f>
      </x:c>
    </x:row>
    <x:row r="23" ht="25" customHeight="1">
      <x:c r="A23" s="21" t="str">
        <x:f>IF(ROWS($A$8:A23)&gt;COUNT('Master Plan'!$P$7:$P$247),"",INDEX('Master Plan'!$A$7:$A$247,MATCH(ROWS($A$8:A23),'Master Plan'!$P$7:$P$247,0)))</x:f>
        <x:v>​1.16</x:v>
      </x:c>
      <x:c r="B23" s="18" t="str">
        <x:f>IF($A23="","",INDEX('Master Plan'!$B$7:$B$247,MATCH($A23,'Master Plan'!$A$7:$A$247,0)))</x:f>
        <x:v>Project Initiation</x:v>
      </x:c>
      <x:c r="C23" s="18" t="str">
        <x:f>IF($A23="","",INDEX('Master Plan'!$C$7:$C$247,MATCH($A23,'Master Plan'!$A$7:$A$247,0)))</x:f>
        <x:v>Establish weekly project meeting</x:v>
      </x:c>
      <x:c r="D23" s="18" t="str">
        <x:f>IF($A23="","",INDEX('Master Plan'!$D$7:$D$247,MATCH($A23,'Master Plan'!$A$7:$A$247,0)))</x:f>
        <x:v>PM</x:v>
      </x:c>
      <x:c r="E23" s="23" t="n">
        <x:f>IF($A23="","",INDEX('Master Plan'!$E$7:$E$247,MATCH($A23,'Master Plan'!$A$7:$A$247,0)))</x:f>
        <x:v>1</x:v>
      </x:c>
      <x:c r="F23" s="23" t="n">
        <x:f>IF($A23="","",INDEX('Master Plan'!$F$7:$F$247,MATCH($A23,'Master Plan'!$A$7:$A$247,0)))</x:f>
        <x:v>1</x:v>
      </x:c>
      <x:c r="G23" s="23" t="str">
        <x:f>IF($A23="","",INDEX('Master Plan'!$G$7:$G$247,MATCH($A23,'Master Plan'!$A$7:$A$247,0)))</x:f>
        <x:v>Not Started</x:v>
      </x:c>
      <x:c r="H23" s="23" t="str">
        <x:f>IF($A23="","",INDEX('Master Plan'!$H$7:$H$247,MATCH($A23,'Master Plan'!$A$7:$A$247,0)))</x:f>
        <x:v>Due Soon</x:v>
      </x:c>
      <x:c r="I23" s="27" t="str">
        <x:f>IF($A23="","",INDEX('Master Plan'!$I$7:$I$247,MATCH($A23,'Master Plan'!$A$7:$A$247,0)))</x:f>
      </x:c>
      <x:c r="J23" s="27" t="str">
        <x:f>IF($A23="","",INDEX('Master Plan'!$J$7:$J$247,MATCH($A23,'Master Plan'!$A$7:$A$247,0)))</x:f>
      </x:c>
      <x:c r="K23" s="27" t="str">
        <x:f>IF($A23="","",INDEX('Master Plan'!$K$7:$K$247,MATCH($A23,'Master Plan'!$A$7:$A$247,0)))</x:f>
      </x:c>
    </x:row>
    <x:row r="24" ht="25" customHeight="1">
      <x:c r="A24" s="21" t="str">
        <x:f>IF(ROWS($A$8:A24)&gt;COUNT('Master Plan'!$P$7:$P$247),"",INDEX('Master Plan'!$A$7:$A$247,MATCH(ROWS($A$8:A24),'Master Plan'!$P$7:$P$247,0)))</x:f>
        <x:v>​1.17</x:v>
      </x:c>
      <x:c r="B24" s="18" t="str">
        <x:f>IF($A24="","",INDEX('Master Plan'!$B$7:$B$247,MATCH($A24,'Master Plan'!$A$7:$A$247,0)))</x:f>
        <x:v>Project Initiation</x:v>
      </x:c>
      <x:c r="C24" s="18" t="str">
        <x:f>IF($A24="","",INDEX('Master Plan'!$C$7:$C$247,MATCH($A24,'Master Plan'!$A$7:$A$247,0)))</x:f>
        <x:v>Establish RAID log</x:v>
      </x:c>
      <x:c r="D24" s="18" t="str">
        <x:f>IF($A24="","",INDEX('Master Plan'!$D$7:$D$247,MATCH($A24,'Master Plan'!$A$7:$A$247,0)))</x:f>
        <x:v>PM</x:v>
      </x:c>
      <x:c r="E24" s="23" t="n">
        <x:f>IF($A24="","",INDEX('Master Plan'!$E$7:$E$247,MATCH($A24,'Master Plan'!$A$7:$A$247,0)))</x:f>
        <x:v>1</x:v>
      </x:c>
      <x:c r="F24" s="23" t="n">
        <x:f>IF($A24="","",INDEX('Master Plan'!$F$7:$F$247,MATCH($A24,'Master Plan'!$A$7:$A$247,0)))</x:f>
        <x:v>1</x:v>
      </x:c>
      <x:c r="G24" s="23" t="str">
        <x:f>IF($A24="","",INDEX('Master Plan'!$G$7:$G$247,MATCH($A24,'Master Plan'!$A$7:$A$247,0)))</x:f>
        <x:v>Not Started</x:v>
      </x:c>
      <x:c r="H24" s="23" t="str">
        <x:f>IF($A24="","",INDEX('Master Plan'!$H$7:$H$247,MATCH($A24,'Master Plan'!$A$7:$A$247,0)))</x:f>
        <x:v>Due Soon</x:v>
      </x:c>
      <x:c r="I24" s="27" t="str">
        <x:f>IF($A24="","",INDEX('Master Plan'!$I$7:$I$247,MATCH($A24,'Master Plan'!$A$7:$A$247,0)))</x:f>
      </x:c>
      <x:c r="J24" s="27" t="str">
        <x:f>IF($A24="","",INDEX('Master Plan'!$J$7:$J$247,MATCH($A24,'Master Plan'!$A$7:$A$247,0)))</x:f>
      </x:c>
      <x:c r="K24" s="27" t="str">
        <x:f>IF($A24="","",INDEX('Master Plan'!$K$7:$K$247,MATCH($A24,'Master Plan'!$A$7:$A$247,0)))</x:f>
      </x:c>
    </x:row>
    <x:row r="25" ht="25" customHeight="1">
      <x:c r="A25" s="21" t="str">
        <x:f>IF(ROWS($A$8:A25)&gt;COUNT('Master Plan'!$P$7:$P$247),"",INDEX('Master Plan'!$A$7:$A$247,MATCH(ROWS($A$8:A25),'Master Plan'!$P$7:$P$247,0)))</x:f>
        <x:v>​1.18</x:v>
      </x:c>
      <x:c r="B25" s="18" t="str">
        <x:f>IF($A25="","",INDEX('Master Plan'!$B$7:$B$247,MATCH($A25,'Master Plan'!$A$7:$A$247,0)))</x:f>
        <x:v>Project Initiation</x:v>
      </x:c>
      <x:c r="C25" s="18" t="str">
        <x:f>IF($A25="","",INDEX('Master Plan'!$C$7:$C$247,MATCH($A25,'Master Plan'!$A$7:$A$247,0)))</x:f>
        <x:v>Establish decision log</x:v>
      </x:c>
      <x:c r="D25" s="18" t="str">
        <x:f>IF($A25="","",INDEX('Master Plan'!$D$7:$D$247,MATCH($A25,'Master Plan'!$A$7:$A$247,0)))</x:f>
        <x:v>PM</x:v>
      </x:c>
      <x:c r="E25" s="23" t="n">
        <x:f>IF($A25="","",INDEX('Master Plan'!$E$7:$E$247,MATCH($A25,'Master Plan'!$A$7:$A$247,0)))</x:f>
        <x:v>1</x:v>
      </x:c>
      <x:c r="F25" s="23" t="n">
        <x:f>IF($A25="","",INDEX('Master Plan'!$F$7:$F$247,MATCH($A25,'Master Plan'!$A$7:$A$247,0)))</x:f>
        <x:v>1</x:v>
      </x:c>
      <x:c r="G25" s="23" t="str">
        <x:f>IF($A25="","",INDEX('Master Plan'!$G$7:$G$247,MATCH($A25,'Master Plan'!$A$7:$A$247,0)))</x:f>
        <x:v>Not Started</x:v>
      </x:c>
      <x:c r="H25" s="23" t="str">
        <x:f>IF($A25="","",INDEX('Master Plan'!$H$7:$H$247,MATCH($A25,'Master Plan'!$A$7:$A$247,0)))</x:f>
        <x:v>Due Soon</x:v>
      </x:c>
      <x:c r="I25" s="27" t="str">
        <x:f>IF($A25="","",INDEX('Master Plan'!$I$7:$I$247,MATCH($A25,'Master Plan'!$A$7:$A$247,0)))</x:f>
      </x:c>
      <x:c r="J25" s="27" t="str">
        <x:f>IF($A25="","",INDEX('Master Plan'!$J$7:$J$247,MATCH($A25,'Master Plan'!$A$7:$A$247,0)))</x:f>
      </x:c>
      <x:c r="K25" s="27" t="str">
        <x:f>IF($A25="","",INDEX('Master Plan'!$K$7:$K$247,MATCH($A25,'Master Plan'!$A$7:$A$247,0)))</x:f>
      </x:c>
    </x:row>
    <x:row r="26" ht="25" customHeight="1">
      <x:c r="A26" s="21" t="str">
        <x:f>IF(ROWS($A$8:A26)&gt;COUNT('Master Plan'!$P$7:$P$247),"",INDEX('Master Plan'!$A$7:$A$247,MATCH(ROWS($A$8:A26),'Master Plan'!$P$7:$P$247,0)))</x:f>
        <x:v>​1.19</x:v>
      </x:c>
      <x:c r="B26" s="18" t="str">
        <x:f>IF($A26="","",INDEX('Master Plan'!$B$7:$B$247,MATCH($A26,'Master Plan'!$A$7:$A$247,0)))</x:f>
        <x:v>Project Initiation</x:v>
      </x:c>
      <x:c r="C26" s="18" t="str">
        <x:f>IF($A26="","",INDEX('Master Plan'!$C$7:$C$247,MATCH($A26,'Master Plan'!$A$7:$A$247,0)))</x:f>
        <x:v>Establish project repository</x:v>
      </x:c>
      <x:c r="D26" s="18" t="str">
        <x:f>IF($A26="","",INDEX('Master Plan'!$D$7:$D$247,MATCH($A26,'Master Plan'!$A$7:$A$247,0)))</x:f>
        <x:v>PM</x:v>
      </x:c>
      <x:c r="E26" s="23" t="n">
        <x:f>IF($A26="","",INDEX('Master Plan'!$E$7:$E$247,MATCH($A26,'Master Plan'!$A$7:$A$247,0)))</x:f>
        <x:v>1</x:v>
      </x:c>
      <x:c r="F26" s="23" t="n">
        <x:f>IF($A26="","",INDEX('Master Plan'!$F$7:$F$247,MATCH($A26,'Master Plan'!$A$7:$A$247,0)))</x:f>
        <x:v>1</x:v>
      </x:c>
      <x:c r="G26" s="23" t="str">
        <x:f>IF($A26="","",INDEX('Master Plan'!$G$7:$G$247,MATCH($A26,'Master Plan'!$A$7:$A$247,0)))</x:f>
        <x:v>Not Started</x:v>
      </x:c>
      <x:c r="H26" s="23" t="str">
        <x:f>IF($A26="","",INDEX('Master Plan'!$H$7:$H$247,MATCH($A26,'Master Plan'!$A$7:$A$247,0)))</x:f>
        <x:v>Due Soon</x:v>
      </x:c>
      <x:c r="I26" s="27" t="str">
        <x:f>IF($A26="","",INDEX('Master Plan'!$I$7:$I$247,MATCH($A26,'Master Plan'!$A$7:$A$247,0)))</x:f>
      </x:c>
      <x:c r="J26" s="27" t="str">
        <x:f>IF($A26="","",INDEX('Master Plan'!$J$7:$J$247,MATCH($A26,'Master Plan'!$A$7:$A$247,0)))</x:f>
      </x:c>
      <x:c r="K26" s="27" t="str">
        <x:f>IF($A26="","",INDEX('Master Plan'!$K$7:$K$247,MATCH($A26,'Master Plan'!$A$7:$A$247,0)))</x:f>
      </x:c>
    </x:row>
    <x:row r="27" ht="25" customHeight="1">
      <x:c r="A27" s="21" t="str">
        <x:f>IF(ROWS($A$8:A27)&gt;COUNT('Master Plan'!$P$7:$P$247),"",INDEX('Master Plan'!$A$7:$A$247,MATCH(ROWS($A$8:A27),'Master Plan'!$P$7:$P$247,0)))</x:f>
        <x:v>​1.20</x:v>
      </x:c>
      <x:c r="B27" s="18" t="str">
        <x:f>IF($A27="","",INDEX('Master Plan'!$B$7:$B$247,MATCH($A27,'Master Plan'!$A$7:$A$247,0)))</x:f>
        <x:v>Project Initiation</x:v>
      </x:c>
      <x:c r="C27" s="18" t="str">
        <x:f>IF($A27="","",INDEX('Master Plan'!$C$7:$C$247,MATCH($A27,'Master Plan'!$A$7:$A$247,0)))</x:f>
        <x:v>Kickoff meeting</x:v>
      </x:c>
      <x:c r="D27" s="18" t="str">
        <x:f>IF($A27="","",INDEX('Master Plan'!$D$7:$D$247,MATCH($A27,'Master Plan'!$A$7:$A$247,0)))</x:f>
        <x:v>PM</x:v>
      </x:c>
      <x:c r="E27" s="23" t="n">
        <x:f>IF($A27="","",INDEX('Master Plan'!$E$7:$E$247,MATCH($A27,'Master Plan'!$A$7:$A$247,0)))</x:f>
        <x:v>2</x:v>
      </x:c>
      <x:c r="F27" s="23" t="n">
        <x:f>IF($A27="","",INDEX('Master Plan'!$F$7:$F$247,MATCH($A27,'Master Plan'!$A$7:$A$247,0)))</x:f>
        <x:v>2</x:v>
      </x:c>
      <x:c r="G27" s="23" t="str">
        <x:f>IF($A27="","",INDEX('Master Plan'!$G$7:$G$247,MATCH($A27,'Master Plan'!$A$7:$A$247,0)))</x:f>
        <x:v>Not Started</x:v>
      </x:c>
      <x:c r="H27" s="23" t="str">
        <x:f>IF($A27="","",INDEX('Master Plan'!$H$7:$H$247,MATCH($A27,'Master Plan'!$A$7:$A$247,0)))</x:f>
        <x:v>Due Soon</x:v>
      </x:c>
      <x:c r="I27" s="27" t="str">
        <x:f>IF($A27="","",INDEX('Master Plan'!$I$7:$I$247,MATCH($A27,'Master Plan'!$A$7:$A$247,0)))</x:f>
      </x:c>
      <x:c r="J27" s="27" t="str">
        <x:f>IF($A27="","",INDEX('Master Plan'!$J$7:$J$247,MATCH($A27,'Master Plan'!$A$7:$A$247,0)))</x:f>
      </x:c>
      <x:c r="K27" s="27" t="str">
        <x:f>IF($A27="","",INDEX('Master Plan'!$K$7:$K$247,MATCH($A27,'Master Plan'!$A$7:$A$247,0)))</x:f>
      </x:c>
    </x:row>
    <x:row r="28" ht="25" customHeight="1">
      <x:c r="A28" s="21" t="str">
        <x:f>IF(ROWS($A$8:A28)&gt;COUNT('Master Plan'!$P$7:$P$247),"",INDEX('Master Plan'!$A$7:$A$247,MATCH(ROWS($A$8:A28),'Master Plan'!$P$7:$P$247,0)))</x:f>
        <x:v>​2.1</x:v>
      </x:c>
      <x:c r="B28" s="18" t="str">
        <x:f>IF($A28="","",INDEX('Master Plan'!$B$7:$B$247,MATCH($A28,'Master Plan'!$A$7:$A$247,0)))</x:f>
        <x:v>Business &amp; Product Definition</x:v>
      </x:c>
      <x:c r="C28" s="18" t="str">
        <x:f>IF($A28="","",INDEX('Master Plan'!$C$7:$C$247,MATCH($A28,'Master Plan'!$A$7:$A$247,0)))</x:f>
        <x:v>Define business objectives</x:v>
      </x:c>
      <x:c r="D28" s="18" t="str">
        <x:f>IF($A28="","",INDEX('Master Plan'!$D$7:$D$247,MATCH($A28,'Master Plan'!$A$7:$A$247,0)))</x:f>
        <x:v>Product</x:v>
      </x:c>
      <x:c r="E28" s="23" t="n">
        <x:f>IF($A28="","",INDEX('Master Plan'!$E$7:$E$247,MATCH($A28,'Master Plan'!$A$7:$A$247,0)))</x:f>
        <x:v>1</x:v>
      </x:c>
      <x:c r="F28" s="23" t="n">
        <x:f>IF($A28="","",INDEX('Master Plan'!$F$7:$F$247,MATCH($A28,'Master Plan'!$A$7:$A$247,0)))</x:f>
        <x:v>1</x:v>
      </x:c>
      <x:c r="G28" s="23" t="str">
        <x:f>IF($A28="","",INDEX('Master Plan'!$G$7:$G$247,MATCH($A28,'Master Plan'!$A$7:$A$247,0)))</x:f>
        <x:v>Not Started</x:v>
      </x:c>
      <x:c r="H28" s="23" t="str">
        <x:f>IF($A28="","",INDEX('Master Plan'!$H$7:$H$247,MATCH($A28,'Master Plan'!$A$7:$A$247,0)))</x:f>
        <x:v>Due Soon</x:v>
      </x:c>
      <x:c r="I28" s="27" t="str">
        <x:f>IF($A28="","",INDEX('Master Plan'!$I$7:$I$247,MATCH($A28,'Master Plan'!$A$7:$A$247,0)))</x:f>
      </x:c>
      <x:c r="J28" s="27" t="str">
        <x:f>IF($A28="","",INDEX('Master Plan'!$J$7:$J$247,MATCH($A28,'Master Plan'!$A$7:$A$247,0)))</x:f>
      </x:c>
      <x:c r="K28" s="27" t="str">
        <x:f>IF($A28="","",INDEX('Master Plan'!$K$7:$K$247,MATCH($A28,'Master Plan'!$A$7:$A$247,0)))</x:f>
      </x:c>
    </x:row>
    <x:row r="29" ht="25" customHeight="1">
      <x:c r="A29" s="21" t="str">
        <x:f>IF(ROWS($A$8:A29)&gt;COUNT('Master Plan'!$P$7:$P$247),"",INDEX('Master Plan'!$A$7:$A$247,MATCH(ROWS($A$8:A29),'Master Plan'!$P$7:$P$247,0)))</x:f>
        <x:v>​2.2</x:v>
      </x:c>
      <x:c r="B29" s="18" t="str">
        <x:f>IF($A29="","",INDEX('Master Plan'!$B$7:$B$247,MATCH($A29,'Master Plan'!$A$7:$A$247,0)))</x:f>
        <x:v>Business &amp; Product Definition</x:v>
      </x:c>
      <x:c r="C29" s="18" t="str">
        <x:f>IF($A29="","",INDEX('Master Plan'!$C$7:$C$247,MATCH($A29,'Master Plan'!$A$7:$A$247,0)))</x:f>
        <x:v>Define customer value proposition</x:v>
      </x:c>
      <x:c r="D29" s="18" t="str">
        <x:f>IF($A29="","",INDEX('Master Plan'!$D$7:$D$247,MATCH($A29,'Master Plan'!$A$7:$A$247,0)))</x:f>
        <x:v>Product</x:v>
      </x:c>
      <x:c r="E29" s="23" t="n">
        <x:f>IF($A29="","",INDEX('Master Plan'!$E$7:$E$247,MATCH($A29,'Master Plan'!$A$7:$A$247,0)))</x:f>
        <x:v>1</x:v>
      </x:c>
      <x:c r="F29" s="23" t="n">
        <x:f>IF($A29="","",INDEX('Master Plan'!$F$7:$F$247,MATCH($A29,'Master Plan'!$A$7:$A$247,0)))</x:f>
        <x:v>1</x:v>
      </x:c>
      <x:c r="G29" s="23" t="str">
        <x:f>IF($A29="","",INDEX('Master Plan'!$G$7:$G$247,MATCH($A29,'Master Plan'!$A$7:$A$247,0)))</x:f>
        <x:v>Not Started</x:v>
      </x:c>
      <x:c r="H29" s="23" t="str">
        <x:f>IF($A29="","",INDEX('Master Plan'!$H$7:$H$247,MATCH($A29,'Master Plan'!$A$7:$A$247,0)))</x:f>
        <x:v>Due Soon</x:v>
      </x:c>
      <x:c r="I29" s="27" t="str">
        <x:f>IF($A29="","",INDEX('Master Plan'!$I$7:$I$247,MATCH($A29,'Master Plan'!$A$7:$A$247,0)))</x:f>
      </x:c>
      <x:c r="J29" s="27" t="str">
        <x:f>IF($A29="","",INDEX('Master Plan'!$J$7:$J$247,MATCH($A29,'Master Plan'!$A$7:$A$247,0)))</x:f>
      </x:c>
      <x:c r="K29" s="27" t="str">
        <x:f>IF($A29="","",INDEX('Master Plan'!$K$7:$K$247,MATCH($A29,'Master Plan'!$A$7:$A$247,0)))</x:f>
        <x:v>UX</x:v>
      </x:c>
    </x:row>
    <x:row r="30" ht="25" customHeight="1">
      <x:c r="A30" s="21" t="str">
        <x:f>IF(ROWS($A$8:A30)&gt;COUNT('Master Plan'!$P$7:$P$247),"",INDEX('Master Plan'!$A$7:$A$247,MATCH(ROWS($A$8:A30),'Master Plan'!$P$7:$P$247,0)))</x:f>
        <x:v>​2.3</x:v>
      </x:c>
      <x:c r="B30" s="18" t="str">
        <x:f>IF($A30="","",INDEX('Master Plan'!$B$7:$B$247,MATCH($A30,'Master Plan'!$A$7:$A$247,0)))</x:f>
        <x:v>Business &amp; Product Definition</x:v>
      </x:c>
      <x:c r="C30" s="18" t="str">
        <x:f>IF($A30="","",INDEX('Master Plan'!$C$7:$C$247,MATCH($A30,'Master Plan'!$A$7:$A$247,0)))</x:f>
        <x:v>Define target customer population</x:v>
      </x:c>
      <x:c r="D30" s="18" t="str">
        <x:f>IF($A30="","",INDEX('Master Plan'!$D$7:$D$247,MATCH($A30,'Master Plan'!$A$7:$A$247,0)))</x:f>
        <x:v>Product</x:v>
      </x:c>
      <x:c r="E30" s="23" t="n">
        <x:f>IF($A30="","",INDEX('Master Plan'!$E$7:$E$247,MATCH($A30,'Master Plan'!$A$7:$A$247,0)))</x:f>
        <x:v>1</x:v>
      </x:c>
      <x:c r="F30" s="23" t="n">
        <x:f>IF($A30="","",INDEX('Master Plan'!$F$7:$F$247,MATCH($A30,'Master Plan'!$A$7:$A$247,0)))</x:f>
        <x:v>1</x:v>
      </x:c>
      <x:c r="G30" s="23" t="str">
        <x:f>IF($A30="","",INDEX('Master Plan'!$G$7:$G$247,MATCH($A30,'Master Plan'!$A$7:$A$247,0)))</x:f>
        <x:v>Not Started</x:v>
      </x:c>
      <x:c r="H30" s="23" t="str">
        <x:f>IF($A30="","",INDEX('Master Plan'!$H$7:$H$247,MATCH($A30,'Master Plan'!$A$7:$A$247,0)))</x:f>
        <x:v>Due Soon</x:v>
      </x:c>
      <x:c r="I30" s="27" t="str">
        <x:f>IF($A30="","",INDEX('Master Plan'!$I$7:$I$247,MATCH($A30,'Master Plan'!$A$7:$A$247,0)))</x:f>
      </x:c>
      <x:c r="J30" s="27" t="str">
        <x:f>IF($A30="","",INDEX('Master Plan'!$J$7:$J$247,MATCH($A30,'Master Plan'!$A$7:$A$247,0)))</x:f>
      </x:c>
      <x:c r="K30" s="27" t="str">
        <x:f>IF($A30="","",INDEX('Master Plan'!$K$7:$K$247,MATCH($A30,'Master Plan'!$A$7:$A$247,0)))</x:f>
      </x:c>
    </x:row>
    <x:row r="31" ht="25" customHeight="1">
      <x:c r="A31" s="21" t="str">
        <x:f>IF(ROWS($A$8:A31)&gt;COUNT('Master Plan'!$P$7:$P$247),"",INDEX('Master Plan'!$A$7:$A$247,MATCH(ROWS($A$8:A31),'Master Plan'!$P$7:$P$247,0)))</x:f>
        <x:v>​2.4</x:v>
      </x:c>
      <x:c r="B31" s="18" t="str">
        <x:f>IF($A31="","",INDEX('Master Plan'!$B$7:$B$247,MATCH($A31,'Master Plan'!$A$7:$A$247,0)))</x:f>
        <x:v>Business &amp; Product Definition</x:v>
      </x:c>
      <x:c r="C31" s="18" t="str">
        <x:f>IF($A31="","",INDEX('Master Plan'!$C$7:$C$247,MATCH($A31,'Master Plan'!$A$7:$A$247,0)))</x:f>
        <x:v>Confirm eligibility requirements</x:v>
      </x:c>
      <x:c r="D31" s="18" t="str">
        <x:f>IF($A31="","",INDEX('Master Plan'!$D$7:$D$247,MATCH($A31,'Master Plan'!$A$7:$A$247,0)))</x:f>
        <x:v>Product</x:v>
      </x:c>
      <x:c r="E31" s="23" t="n">
        <x:f>IF($A31="","",INDEX('Master Plan'!$E$7:$E$247,MATCH($A31,'Master Plan'!$A$7:$A$247,0)))</x:f>
        <x:v>2</x:v>
      </x:c>
      <x:c r="F31" s="23" t="n">
        <x:f>IF($A31="","",INDEX('Master Plan'!$F$7:$F$247,MATCH($A31,'Master Plan'!$A$7:$A$247,0)))</x:f>
        <x:v>2</x:v>
      </x:c>
      <x:c r="G31" s="23" t="str">
        <x:f>IF($A31="","",INDEX('Master Plan'!$G$7:$G$247,MATCH($A31,'Master Plan'!$A$7:$A$247,0)))</x:f>
        <x:v>Not Started</x:v>
      </x:c>
      <x:c r="H31" s="23" t="str">
        <x:f>IF($A31="","",INDEX('Master Plan'!$H$7:$H$247,MATCH($A31,'Master Plan'!$A$7:$A$247,0)))</x:f>
        <x:v>Due Soon</x:v>
      </x:c>
      <x:c r="I31" s="27" t="str">
        <x:f>IF($A31="","",INDEX('Master Plan'!$I$7:$I$247,MATCH($A31,'Master Plan'!$A$7:$A$247,0)))</x:f>
      </x:c>
      <x:c r="J31" s="27" t="str">
        <x:f>IF($A31="","",INDEX('Master Plan'!$J$7:$J$247,MATCH($A31,'Master Plan'!$A$7:$A$247,0)))</x:f>
      </x:c>
      <x:c r="K31" s="27" t="str">
        <x:f>IF($A31="","",INDEX('Master Plan'!$K$7:$K$247,MATCH($A31,'Master Plan'!$A$7:$A$247,0)))</x:f>
        <x:v>Compliance</x:v>
      </x:c>
    </x:row>
    <x:row r="32" ht="25" customHeight="1">
      <x:c r="A32" s="21" t="str">
        <x:f>IF(ROWS($A$8:A32)&gt;COUNT('Master Plan'!$P$7:$P$247),"",INDEX('Master Plan'!$A$7:$A$247,MATCH(ROWS($A$8:A32),'Master Plan'!$P$7:$P$247,0)))</x:f>
        <x:v>​2.5</x:v>
      </x:c>
      <x:c r="B32" s="18" t="str">
        <x:f>IF($A32="","",INDEX('Master Plan'!$B$7:$B$247,MATCH($A32,'Master Plan'!$A$7:$A$247,0)))</x:f>
        <x:v>Business &amp; Product Definition</x:v>
      </x:c>
      <x:c r="C32" s="18" t="str">
        <x:f>IF($A32="","",INDEX('Master Plan'!$C$7:$C$247,MATCH($A32,'Master Plan'!$A$7:$A$247,0)))</x:f>
        <x:v>Define first-release capabilities</x:v>
      </x:c>
      <x:c r="D32" s="18" t="str">
        <x:f>IF($A32="","",INDEX('Master Plan'!$D$7:$D$247,MATCH($A32,'Master Plan'!$A$7:$A$247,0)))</x:f>
        <x:v>Product</x:v>
      </x:c>
      <x:c r="E32" s="23" t="n">
        <x:f>IF($A32="","",INDEX('Master Plan'!$E$7:$E$247,MATCH($A32,'Master Plan'!$A$7:$A$247,0)))</x:f>
        <x:v>2</x:v>
      </x:c>
      <x:c r="F32" s="23" t="n">
        <x:f>IF($A32="","",INDEX('Master Plan'!$F$7:$F$247,MATCH($A32,'Master Plan'!$A$7:$A$247,0)))</x:f>
        <x:v>2</x:v>
      </x:c>
      <x:c r="G32" s="23" t="str">
        <x:f>IF($A32="","",INDEX('Master Plan'!$G$7:$G$247,MATCH($A32,'Master Plan'!$A$7:$A$247,0)))</x:f>
        <x:v>Not Started</x:v>
      </x:c>
      <x:c r="H32" s="23" t="str">
        <x:f>IF($A32="","",INDEX('Master Plan'!$H$7:$H$247,MATCH($A32,'Master Plan'!$A$7:$A$247,0)))</x:f>
        <x:v>Due Soon</x:v>
      </x:c>
      <x:c r="I32" s="27" t="str">
        <x:f>IF($A32="","",INDEX('Master Plan'!$I$7:$I$247,MATCH($A32,'Master Plan'!$A$7:$A$247,0)))</x:f>
      </x:c>
      <x:c r="J32" s="27" t="str">
        <x:f>IF($A32="","",INDEX('Master Plan'!$J$7:$J$247,MATCH($A32,'Master Plan'!$A$7:$A$247,0)))</x:f>
      </x:c>
      <x:c r="K32" s="27" t="str">
        <x:f>IF($A32="","",INDEX('Master Plan'!$K$7:$K$247,MATCH($A32,'Master Plan'!$A$7:$A$247,0)))</x:f>
      </x:c>
    </x:row>
    <x:row r="33" ht="25" customHeight="1">
      <x:c r="A33" s="21" t="str">
        <x:f>IF(ROWS($A$8:A33)&gt;COUNT('Master Plan'!$P$7:$P$247),"",INDEX('Master Plan'!$A$7:$A$247,MATCH(ROWS($A$8:A33),'Master Plan'!$P$7:$P$247,0)))</x:f>
        <x:v>​2.6</x:v>
      </x:c>
      <x:c r="B33" s="18" t="str">
        <x:f>IF($A33="","",INDEX('Master Plan'!$B$7:$B$247,MATCH($A33,'Master Plan'!$A$7:$A$247,0)))</x:f>
        <x:v>Business &amp; Product Definition</x:v>
      </x:c>
      <x:c r="C33" s="18" t="str">
        <x:f>IF($A33="","",INDEX('Master Plan'!$C$7:$C$247,MATCH($A33,'Master Plan'!$A$7:$A$247,0)))</x:f>
        <x:v>Confirm whether offers are included</x:v>
      </x:c>
      <x:c r="D33" s="18" t="str">
        <x:f>IF($A33="","",INDEX('Master Plan'!$D$7:$D$247,MATCH($A33,'Master Plan'!$A$7:$A$247,0)))</x:f>
        <x:v>Product</x:v>
      </x:c>
      <x:c r="E33" s="23" t="n">
        <x:f>IF($A33="","",INDEX('Master Plan'!$E$7:$E$247,MATCH($A33,'Master Plan'!$A$7:$A$247,0)))</x:f>
        <x:v>2</x:v>
      </x:c>
      <x:c r="F33" s="23" t="n">
        <x:f>IF($A33="","",INDEX('Master Plan'!$F$7:$F$247,MATCH($A33,'Master Plan'!$A$7:$A$247,0)))</x:f>
        <x:v>2</x:v>
      </x:c>
      <x:c r="G33" s="23" t="str">
        <x:f>IF($A33="","",INDEX('Master Plan'!$G$7:$G$247,MATCH($A33,'Master Plan'!$A$7:$A$247,0)))</x:f>
        <x:v>Not Started</x:v>
      </x:c>
      <x:c r="H33" s="23" t="str">
        <x:f>IF($A33="","",INDEX('Master Plan'!$H$7:$H$247,MATCH($A33,'Master Plan'!$A$7:$A$247,0)))</x:f>
        <x:v>Due Soon</x:v>
      </x:c>
      <x:c r="I33" s="27" t="str">
        <x:f>IF($A33="","",INDEX('Master Plan'!$I$7:$I$247,MATCH($A33,'Master Plan'!$A$7:$A$247,0)))</x:f>
      </x:c>
      <x:c r="J33" s="27" t="str">
        <x:f>IF($A33="","",INDEX('Master Plan'!$J$7:$J$247,MATCH($A33,'Master Plan'!$A$7:$A$247,0)))</x:f>
      </x:c>
      <x:c r="K33" s="27" t="str">
        <x:f>IF($A33="","",INDEX('Master Plan'!$K$7:$K$247,MATCH($A33,'Master Plan'!$A$7:$A$247,0)))</x:f>
        <x:v>Marketing</x:v>
      </x:c>
    </x:row>
    <x:row r="34" ht="25" customHeight="1">
      <x:c r="A34" s="21" t="str">
        <x:f>IF(ROWS($A$8:A34)&gt;COUNT('Master Plan'!$P$7:$P$247),"",INDEX('Master Plan'!$A$7:$A$247,MATCH(ROWS($A$8:A34),'Master Plan'!$P$7:$P$247,0)))</x:f>
        <x:v>​2.7</x:v>
      </x:c>
      <x:c r="B34" s="18" t="str">
        <x:f>IF($A34="","",INDEX('Master Plan'!$B$7:$B$247,MATCH($A34,'Master Plan'!$A$7:$A$247,0)))</x:f>
        <x:v>Business &amp; Product Definition</x:v>
      </x:c>
      <x:c r="C34" s="18" t="str">
        <x:f>IF($A34="","",INDEX('Master Plan'!$C$7:$C$247,MATCH($A34,'Master Plan'!$A$7:$A$247,0)))</x:f>
        <x:v>Define web experience</x:v>
      </x:c>
      <x:c r="D34" s="18" t="str">
        <x:f>IF($A34="","",INDEX('Master Plan'!$D$7:$D$247,MATCH($A34,'Master Plan'!$A$7:$A$247,0)))</x:f>
        <x:v>Product</x:v>
      </x:c>
      <x:c r="E34" s="23" t="n">
        <x:f>IF($A34="","",INDEX('Master Plan'!$E$7:$E$247,MATCH($A34,'Master Plan'!$A$7:$A$247,0)))</x:f>
        <x:v>2</x:v>
      </x:c>
      <x:c r="F34" s="23" t="n">
        <x:f>IF($A34="","",INDEX('Master Plan'!$F$7:$F$247,MATCH($A34,'Master Plan'!$A$7:$A$247,0)))</x:f>
        <x:v>2</x:v>
      </x:c>
      <x:c r="G34" s="23" t="str">
        <x:f>IF($A34="","",INDEX('Master Plan'!$G$7:$G$247,MATCH($A34,'Master Plan'!$A$7:$A$247,0)))</x:f>
        <x:v>Not Started</x:v>
      </x:c>
      <x:c r="H34" s="23" t="str">
        <x:f>IF($A34="","",INDEX('Master Plan'!$H$7:$H$247,MATCH($A34,'Master Plan'!$A$7:$A$247,0)))</x:f>
        <x:v>Due Soon</x:v>
      </x:c>
      <x:c r="I34" s="27" t="str">
        <x:f>IF($A34="","",INDEX('Master Plan'!$I$7:$I$247,MATCH($A34,'Master Plan'!$A$7:$A$247,0)))</x:f>
      </x:c>
      <x:c r="J34" s="27" t="str">
        <x:f>IF($A34="","",INDEX('Master Plan'!$J$7:$J$247,MATCH($A34,'Master Plan'!$A$7:$A$247,0)))</x:f>
      </x:c>
      <x:c r="K34" s="27" t="str">
        <x:f>IF($A34="","",INDEX('Master Plan'!$K$7:$K$247,MATCH($A34,'Master Plan'!$A$7:$A$247,0)))</x:f>
        <x:v>UX</x:v>
      </x:c>
    </x:row>
    <x:row r="35" ht="25" customHeight="1">
      <x:c r="A35" s="21" t="str">
        <x:f>IF(ROWS($A$8:A35)&gt;COUNT('Master Plan'!$P$7:$P$247),"",INDEX('Master Plan'!$A$7:$A$247,MATCH(ROWS($A$8:A35),'Master Plan'!$P$7:$P$247,0)))</x:f>
        <x:v>​2.8</x:v>
      </x:c>
      <x:c r="B35" s="18" t="str">
        <x:f>IF($A35="","",INDEX('Master Plan'!$B$7:$B$247,MATCH($A35,'Master Plan'!$A$7:$A$247,0)))</x:f>
        <x:v>Business &amp; Product Definition</x:v>
      </x:c>
      <x:c r="C35" s="18" t="str">
        <x:f>IF($A35="","",INDEX('Master Plan'!$C$7:$C$247,MATCH($A35,'Master Plan'!$A$7:$A$247,0)))</x:f>
        <x:v>Define mobile experience</x:v>
      </x:c>
      <x:c r="D35" s="18" t="str">
        <x:f>IF($A35="","",INDEX('Master Plan'!$D$7:$D$247,MATCH($A35,'Master Plan'!$A$7:$A$247,0)))</x:f>
        <x:v>Product</x:v>
      </x:c>
      <x:c r="E35" s="23" t="n">
        <x:f>IF($A35="","",INDEX('Master Plan'!$E$7:$E$247,MATCH($A35,'Master Plan'!$A$7:$A$247,0)))</x:f>
        <x:v>2</x:v>
      </x:c>
      <x:c r="F35" s="23" t="n">
        <x:f>IF($A35="","",INDEX('Master Plan'!$F$7:$F$247,MATCH($A35,'Master Plan'!$A$7:$A$247,0)))</x:f>
        <x:v>2</x:v>
      </x:c>
      <x:c r="G35" s="23" t="str">
        <x:f>IF($A35="","",INDEX('Master Plan'!$G$7:$G$247,MATCH($A35,'Master Plan'!$A$7:$A$247,0)))</x:f>
        <x:v>Not Started</x:v>
      </x:c>
      <x:c r="H35" s="23" t="str">
        <x:f>IF($A35="","",INDEX('Master Plan'!$H$7:$H$247,MATCH($A35,'Master Plan'!$A$7:$A$247,0)))</x:f>
        <x:v>Due Soon</x:v>
      </x:c>
      <x:c r="I35" s="27" t="str">
        <x:f>IF($A35="","",INDEX('Master Plan'!$I$7:$I$247,MATCH($A35,'Master Plan'!$A$7:$A$247,0)))</x:f>
      </x:c>
      <x:c r="J35" s="27" t="str">
        <x:f>IF($A35="","",INDEX('Master Plan'!$J$7:$J$247,MATCH($A35,'Master Plan'!$A$7:$A$247,0)))</x:f>
      </x:c>
      <x:c r="K35" s="27" t="str">
        <x:f>IF($A35="","",INDEX('Master Plan'!$K$7:$K$247,MATCH($A35,'Master Plan'!$A$7:$A$247,0)))</x:f>
        <x:v>UX</x:v>
      </x:c>
    </x:row>
    <x:row r="36" ht="25" customHeight="1">
      <x:c r="A36" s="21" t="str">
        <x:f>IF(ROWS($A$8:A36)&gt;COUNT('Master Plan'!$P$7:$P$247),"",INDEX('Master Plan'!$A$7:$A$247,MATCH(ROWS($A$8:A36),'Master Plan'!$P$7:$P$247,0)))</x:f>
        <x:v>​2.9</x:v>
      </x:c>
      <x:c r="B36" s="18" t="str">
        <x:f>IF($A36="","",INDEX('Master Plan'!$B$7:$B$247,MATCH($A36,'Master Plan'!$A$7:$A$247,0)))</x:f>
        <x:v>Business &amp; Product Definition</x:v>
      </x:c>
      <x:c r="C36" s="18" t="str">
        <x:f>IF($A36="","",INDEX('Master Plan'!$C$7:$C$247,MATCH($A36,'Master Plan'!$A$7:$A$247,0)))</x:f>
        <x:v>Define enrollment experience</x:v>
      </x:c>
      <x:c r="D36" s="18" t="str">
        <x:f>IF($A36="","",INDEX('Master Plan'!$D$7:$D$247,MATCH($A36,'Master Plan'!$A$7:$A$247,0)))</x:f>
        <x:v>Product</x:v>
      </x:c>
      <x:c r="E36" s="23" t="n">
        <x:f>IF($A36="","",INDEX('Master Plan'!$E$7:$E$247,MATCH($A36,'Master Plan'!$A$7:$A$247,0)))</x:f>
        <x:v>2</x:v>
      </x:c>
      <x:c r="F36" s="23" t="n">
        <x:f>IF($A36="","",INDEX('Master Plan'!$F$7:$F$247,MATCH($A36,'Master Plan'!$A$7:$A$247,0)))</x:f>
        <x:v>2</x:v>
      </x:c>
      <x:c r="G36" s="23" t="str">
        <x:f>IF($A36="","",INDEX('Master Plan'!$G$7:$G$247,MATCH($A36,'Master Plan'!$A$7:$A$247,0)))</x:f>
        <x:v>Not Started</x:v>
      </x:c>
      <x:c r="H36" s="23" t="str">
        <x:f>IF($A36="","",INDEX('Master Plan'!$H$7:$H$247,MATCH($A36,'Master Plan'!$A$7:$A$247,0)))</x:f>
        <x:v>Due Soon</x:v>
      </x:c>
      <x:c r="I36" s="27" t="str">
        <x:f>IF($A36="","",INDEX('Master Plan'!$I$7:$I$247,MATCH($A36,'Master Plan'!$A$7:$A$247,0)))</x:f>
      </x:c>
      <x:c r="J36" s="27" t="str">
        <x:f>IF($A36="","",INDEX('Master Plan'!$J$7:$J$247,MATCH($A36,'Master Plan'!$A$7:$A$247,0)))</x:f>
      </x:c>
      <x:c r="K36" s="27" t="str">
        <x:f>IF($A36="","",INDEX('Master Plan'!$K$7:$K$247,MATCH($A36,'Master Plan'!$A$7:$A$247,0)))</x:f>
        <x:v>UX</x:v>
      </x:c>
    </x:row>
    <x:row r="37" ht="25" customHeight="1">
      <x:c r="A37" s="21" t="str">
        <x:f>IF(ROWS($A$8:A37)&gt;COUNT('Master Plan'!$P$7:$P$247),"",INDEX('Master Plan'!$A$7:$A$247,MATCH(ROWS($A$8:A37),'Master Plan'!$P$7:$P$247,0)))</x:f>
        <x:v>​2.10</x:v>
      </x:c>
      <x:c r="B37" s="18" t="str">
        <x:f>IF($A37="","",INDEX('Master Plan'!$B$7:$B$247,MATCH($A37,'Master Plan'!$A$7:$A$247,0)))</x:f>
        <x:v>Business &amp; Product Definition</x:v>
      </x:c>
      <x:c r="C37" s="18" t="str">
        <x:f>IF($A37="","",INDEX('Master Plan'!$C$7:$C$247,MATCH($A37,'Master Plan'!$A$7:$A$247,0)))</x:f>
        <x:v>Define returning-user experience</x:v>
      </x:c>
      <x:c r="D37" s="18" t="str">
        <x:f>IF($A37="","",INDEX('Master Plan'!$D$7:$D$247,MATCH($A37,'Master Plan'!$A$7:$A$247,0)))</x:f>
        <x:v>Product</x:v>
      </x:c>
      <x:c r="E37" s="23" t="n">
        <x:f>IF($A37="","",INDEX('Master Plan'!$E$7:$E$247,MATCH($A37,'Master Plan'!$A$7:$A$247,0)))</x:f>
        <x:v>2</x:v>
      </x:c>
      <x:c r="F37" s="23" t="n">
        <x:f>IF($A37="","",INDEX('Master Plan'!$F$7:$F$247,MATCH($A37,'Master Plan'!$A$7:$A$247,0)))</x:f>
        <x:v>2</x:v>
      </x:c>
      <x:c r="G37" s="23" t="str">
        <x:f>IF($A37="","",INDEX('Master Plan'!$G$7:$G$247,MATCH($A37,'Master Plan'!$A$7:$A$247,0)))</x:f>
        <x:v>Not Started</x:v>
      </x:c>
      <x:c r="H37" s="23" t="str">
        <x:f>IF($A37="","",INDEX('Master Plan'!$H$7:$H$247,MATCH($A37,'Master Plan'!$A$7:$A$247,0)))</x:f>
        <x:v>Due Soon</x:v>
      </x:c>
      <x:c r="I37" s="27" t="str">
        <x:f>IF($A37="","",INDEX('Master Plan'!$I$7:$I$247,MATCH($A37,'Master Plan'!$A$7:$A$247,0)))</x:f>
      </x:c>
      <x:c r="J37" s="27" t="str">
        <x:f>IF($A37="","",INDEX('Master Plan'!$J$7:$J$247,MATCH($A37,'Master Plan'!$A$7:$A$247,0)))</x:f>
      </x:c>
      <x:c r="K37" s="27" t="str">
        <x:f>IF($A37="","",INDEX('Master Plan'!$K$7:$K$247,MATCH($A37,'Master Plan'!$A$7:$A$247,0)))</x:f>
        <x:v>UX</x:v>
      </x:c>
    </x:row>
    <x:row r="38" ht="25" customHeight="1">
      <x:c r="A38" s="21" t="str">
        <x:f>IF(ROWS($A$8:A38)&gt;COUNT('Master Plan'!$P$7:$P$247),"",INDEX('Master Plan'!$A$7:$A$247,MATCH(ROWS($A$8:A38),'Master Plan'!$P$7:$P$247,0)))</x:f>
        <x:v>​2.11</x:v>
      </x:c>
      <x:c r="B38" s="18" t="str">
        <x:f>IF($A38="","",INDEX('Master Plan'!$B$7:$B$247,MATCH($A38,'Master Plan'!$A$7:$A$247,0)))</x:f>
        <x:v>Business &amp; Product Definition</x:v>
      </x:c>
      <x:c r="C38" s="18" t="str">
        <x:f>IF($A38="","",INDEX('Master Plan'!$C$7:$C$247,MATCH($A38,'Master Plan'!$A$7:$A$247,0)))</x:f>
        <x:v>Define servicing/support experience</x:v>
      </x:c>
      <x:c r="D38" s="18" t="str">
        <x:f>IF($A38="","",INDEX('Master Plan'!$D$7:$D$247,MATCH($A38,'Master Plan'!$A$7:$A$247,0)))</x:f>
        <x:v>Product</x:v>
      </x:c>
      <x:c r="E38" s="23" t="n">
        <x:f>IF($A38="","",INDEX('Master Plan'!$E$7:$E$247,MATCH($A38,'Master Plan'!$A$7:$A$247,0)))</x:f>
        <x:v>2</x:v>
      </x:c>
      <x:c r="F38" s="23" t="n">
        <x:f>IF($A38="","",INDEX('Master Plan'!$F$7:$F$247,MATCH($A38,'Master Plan'!$A$7:$A$247,0)))</x:f>
        <x:v>2</x:v>
      </x:c>
      <x:c r="G38" s="23" t="str">
        <x:f>IF($A38="","",INDEX('Master Plan'!$G$7:$G$247,MATCH($A38,'Master Plan'!$A$7:$A$247,0)))</x:f>
        <x:v>Not Started</x:v>
      </x:c>
      <x:c r="H38" s="23" t="str">
        <x:f>IF($A38="","",INDEX('Master Plan'!$H$7:$H$247,MATCH($A38,'Master Plan'!$A$7:$A$247,0)))</x:f>
        <x:v>Due Soon</x:v>
      </x:c>
      <x:c r="I38" s="27" t="str">
        <x:f>IF($A38="","",INDEX('Master Plan'!$I$7:$I$247,MATCH($A38,'Master Plan'!$A$7:$A$247,0)))</x:f>
      </x:c>
      <x:c r="J38" s="27" t="str">
        <x:f>IF($A38="","",INDEX('Master Plan'!$J$7:$J$247,MATCH($A38,'Master Plan'!$A$7:$A$247,0)))</x:f>
      </x:c>
      <x:c r="K38" s="27" t="str">
        <x:f>IF($A38="","",INDEX('Master Plan'!$K$7:$K$247,MATCH($A38,'Master Plan'!$A$7:$A$247,0)))</x:f>
        <x:v>Ops</x:v>
      </x:c>
    </x:row>
    <x:row r="39" ht="25" customHeight="1">
      <x:c r="A39" s="21" t="str">
        <x:f>IF(ROWS($A$8:A39)&gt;COUNT('Master Plan'!$P$7:$P$247),"",INDEX('Master Plan'!$A$7:$A$247,MATCH(ROWS($A$8:A39),'Master Plan'!$P$7:$P$247,0)))</x:f>
        <x:v>​2.12</x:v>
      </x:c>
      <x:c r="B39" s="18" t="str">
        <x:f>IF($A39="","",INDEX('Master Plan'!$B$7:$B$247,MATCH($A39,'Master Plan'!$A$7:$A$247,0)))</x:f>
        <x:v>Business &amp; Product Definition</x:v>
      </x:c>
      <x:c r="C39" s="18" t="str">
        <x:f>IF($A39="","",INDEX('Master Plan'!$C$7:$C$247,MATCH($A39,'Master Plan'!$A$7:$A$247,0)))</x:f>
        <x:v>Define success KPIs</x:v>
      </x:c>
      <x:c r="D39" s="18" t="str">
        <x:f>IF($A39="","",INDEX('Master Plan'!$D$7:$D$247,MATCH($A39,'Master Plan'!$A$7:$A$247,0)))</x:f>
        <x:v>Product</x:v>
      </x:c>
      <x:c r="E39" s="23" t="n">
        <x:f>IF($A39="","",INDEX('Master Plan'!$E$7:$E$247,MATCH($A39,'Master Plan'!$A$7:$A$247,0)))</x:f>
        <x:v>2</x:v>
      </x:c>
      <x:c r="F39" s="23" t="n">
        <x:f>IF($A39="","",INDEX('Master Plan'!$F$7:$F$247,MATCH($A39,'Master Plan'!$A$7:$A$247,0)))</x:f>
        <x:v>2</x:v>
      </x:c>
      <x:c r="G39" s="23" t="str">
        <x:f>IF($A39="","",INDEX('Master Plan'!$G$7:$G$247,MATCH($A39,'Master Plan'!$A$7:$A$247,0)))</x:f>
        <x:v>Not Started</x:v>
      </x:c>
      <x:c r="H39" s="23" t="str">
        <x:f>IF($A39="","",INDEX('Master Plan'!$H$7:$H$247,MATCH($A39,'Master Plan'!$A$7:$A$247,0)))</x:f>
        <x:v>Due Soon</x:v>
      </x:c>
      <x:c r="I39" s="27" t="str">
        <x:f>IF($A39="","",INDEX('Master Plan'!$I$7:$I$247,MATCH($A39,'Master Plan'!$A$7:$A$247,0)))</x:f>
      </x:c>
      <x:c r="J39" s="27" t="str">
        <x:f>IF($A39="","",INDEX('Master Plan'!$J$7:$J$247,MATCH($A39,'Master Plan'!$A$7:$A$247,0)))</x:f>
      </x:c>
      <x:c r="K39" s="27" t="str">
        <x:f>IF($A39="","",INDEX('Master Plan'!$K$7:$K$247,MATCH($A39,'Master Plan'!$A$7:$A$247,0)))</x:f>
        <x:v>Data</x:v>
      </x:c>
    </x:row>
    <x:row r="40" ht="25" customHeight="1">
      <x:c r="A40" s="21" t="str">
        <x:f>IF(ROWS($A$8:A40)&gt;COUNT('Master Plan'!$P$7:$P$247),"",INDEX('Master Plan'!$A$7:$A$247,MATCH(ROWS($A$8:A40),'Master Plan'!$P$7:$P$247,0)))</x:f>
        <x:v>​2.13</x:v>
      </x:c>
      <x:c r="B40" s="18" t="str">
        <x:f>IF($A40="","",INDEX('Master Plan'!$B$7:$B$247,MATCH($A40,'Master Plan'!$A$7:$A$247,0)))</x:f>
        <x:v>Business &amp; Product Definition</x:v>
      </x:c>
      <x:c r="C40" s="18" t="str">
        <x:f>IF($A40="","",INDEX('Master Plan'!$C$7:$C$247,MATCH($A40,'Master Plan'!$A$7:$A$247,0)))</x:f>
        <x:v>Establish baseline metrics</x:v>
      </x:c>
      <x:c r="D40" s="18" t="str">
        <x:f>IF($A40="","",INDEX('Master Plan'!$D$7:$D$247,MATCH($A40,'Master Plan'!$A$7:$A$247,0)))</x:f>
        <x:v>Data</x:v>
      </x:c>
      <x:c r="E40" s="23" t="n">
        <x:f>IF($A40="","",INDEX('Master Plan'!$E$7:$E$247,MATCH($A40,'Master Plan'!$A$7:$A$247,0)))</x:f>
        <x:v>3</x:v>
      </x:c>
      <x:c r="F40" s="23" t="n">
        <x:f>IF($A40="","",INDEX('Master Plan'!$F$7:$F$247,MATCH($A40,'Master Plan'!$A$7:$A$247,0)))</x:f>
        <x:v>3</x:v>
      </x:c>
      <x:c r="G40" s="23" t="str">
        <x:f>IF($A40="","",INDEX('Master Plan'!$G$7:$G$247,MATCH($A40,'Master Plan'!$A$7:$A$247,0)))</x:f>
        <x:v>Not Started</x:v>
      </x:c>
      <x:c r="H40" s="23" t="str">
        <x:f>IF($A40="","",INDEX('Master Plan'!$H$7:$H$247,MATCH($A40,'Master Plan'!$A$7:$A$247,0)))</x:f>
        <x:v>Due Soon</x:v>
      </x:c>
      <x:c r="I40" s="27" t="str">
        <x:f>IF($A40="","",INDEX('Master Plan'!$I$7:$I$247,MATCH($A40,'Master Plan'!$A$7:$A$247,0)))</x:f>
      </x:c>
      <x:c r="J40" s="27" t="str">
        <x:f>IF($A40="","",INDEX('Master Plan'!$J$7:$J$247,MATCH($A40,'Master Plan'!$A$7:$A$247,0)))</x:f>
      </x:c>
      <x:c r="K40" s="27" t="str">
        <x:f>IF($A40="","",INDEX('Master Plan'!$K$7:$K$247,MATCH($A40,'Master Plan'!$A$7:$A$247,0)))</x:f>
      </x:c>
    </x:row>
    <x:row r="41" ht="25" customHeight="1">
      <x:c r="A41" s="21" t="str">
        <x:f>IF(ROWS($A$8:A41)&gt;COUNT('Master Plan'!$P$7:$P$247),"",INDEX('Master Plan'!$A$7:$A$247,MATCH(ROWS($A$8:A41),'Master Plan'!$P$7:$P$247,0)))</x:f>
        <x:v>​2.14</x:v>
      </x:c>
      <x:c r="B41" s="18" t="str">
        <x:f>IF($A41="","",INDEX('Master Plan'!$B$7:$B$247,MATCH($A41,'Master Plan'!$A$7:$A$247,0)))</x:f>
        <x:v>Business &amp; Product Definition</x:v>
      </x:c>
      <x:c r="C41" s="18" t="str">
        <x:f>IF($A41="","",INDEX('Master Plan'!$C$7:$C$247,MATCH($A41,'Master Plan'!$A$7:$A$247,0)))</x:f>
        <x:v>Finalize product requirements</x:v>
      </x:c>
      <x:c r="D41" s="18" t="str">
        <x:f>IF($A41="","",INDEX('Master Plan'!$D$7:$D$247,MATCH($A41,'Master Plan'!$A$7:$A$247,0)))</x:f>
        <x:v>Product</x:v>
      </x:c>
      <x:c r="E41" s="23" t="n">
        <x:f>IF($A41="","",INDEX('Master Plan'!$E$7:$E$247,MATCH($A41,'Master Plan'!$A$7:$A$247,0)))</x:f>
        <x:v>3</x:v>
      </x:c>
      <x:c r="F41" s="23" t="n">
        <x:f>IF($A41="","",INDEX('Master Plan'!$F$7:$F$247,MATCH($A41,'Master Plan'!$A$7:$A$247,0)))</x:f>
        <x:v>3</x:v>
      </x:c>
      <x:c r="G41" s="23" t="str">
        <x:f>IF($A41="","",INDEX('Master Plan'!$G$7:$G$247,MATCH($A41,'Master Plan'!$A$7:$A$247,0)))</x:f>
        <x:v>Not Started</x:v>
      </x:c>
      <x:c r="H41" s="23" t="str">
        <x:f>IF($A41="","",INDEX('Master Plan'!$H$7:$H$247,MATCH($A41,'Master Plan'!$A$7:$A$247,0)))</x:f>
        <x:v>Due Soon</x:v>
      </x:c>
      <x:c r="I41" s="27" t="str">
        <x:f>IF($A41="","",INDEX('Master Plan'!$I$7:$I$247,MATCH($A41,'Master Plan'!$A$7:$A$247,0)))</x:f>
      </x:c>
      <x:c r="J41" s="27" t="str">
        <x:f>IF($A41="","",INDEX('Master Plan'!$J$7:$J$247,MATCH($A41,'Master Plan'!$A$7:$A$247,0)))</x:f>
      </x:c>
      <x:c r="K41" s="27" t="str">
        <x:f>IF($A41="","",INDEX('Master Plan'!$K$7:$K$247,MATCH($A41,'Master Plan'!$A$7:$A$247,0)))</x:f>
      </x:c>
    </x:row>
    <x:row r="42" ht="25" customHeight="1">
      <x:c r="A42" s="21" t="str">
        <x:f>IF(ROWS($A$8:A42)&gt;COUNT('Master Plan'!$P$7:$P$247),"",INDEX('Master Plan'!$A$7:$A$247,MATCH(ROWS($A$8:A42),'Master Plan'!$P$7:$P$247,0)))</x:f>
        <x:v>​3.1</x:v>
      </x:c>
      <x:c r="B42" s="18" t="str">
        <x:f>IF($A42="","",INDEX('Master Plan'!$B$7:$B$247,MATCH($A42,'Master Plan'!$A$7:$A$247,0)))</x:f>
        <x:v>Vendor / Contract Readiness</x:v>
      </x:c>
      <x:c r="C42" s="18" t="str">
        <x:f>IF($A42="","",INDEX('Master Plan'!$C$7:$C$247,MATCH($A42,'Master Plan'!$A$7:$A$247,0)))</x:f>
        <x:v>Confirm SavvyMoney contract</x:v>
      </x:c>
      <x:c r="D42" s="18" t="str">
        <x:f>IF($A42="","",INDEX('Master Plan'!$D$7:$D$247,MATCH($A42,'Master Plan'!$A$7:$A$247,0)))</x:f>
        <x:v>Procurement</x:v>
      </x:c>
      <x:c r="E42" s="23" t="n">
        <x:f>IF($A42="","",INDEX('Master Plan'!$E$7:$E$247,MATCH($A42,'Master Plan'!$A$7:$A$247,0)))</x:f>
        <x:v>1</x:v>
      </x:c>
      <x:c r="F42" s="23" t="n">
        <x:f>IF($A42="","",INDEX('Master Plan'!$F$7:$F$247,MATCH($A42,'Master Plan'!$A$7:$A$247,0)))</x:f>
        <x:v>1</x:v>
      </x:c>
      <x:c r="G42" s="23" t="str">
        <x:f>IF($A42="","",INDEX('Master Plan'!$G$7:$G$247,MATCH($A42,'Master Plan'!$A$7:$A$247,0)))</x:f>
        <x:v>Not Started</x:v>
      </x:c>
      <x:c r="H42" s="23" t="str">
        <x:f>IF($A42="","",INDEX('Master Plan'!$H$7:$H$247,MATCH($A42,'Master Plan'!$A$7:$A$247,0)))</x:f>
        <x:v>Due Soon</x:v>
      </x:c>
      <x:c r="I42" s="27" t="str">
        <x:f>IF($A42="","",INDEX('Master Plan'!$I$7:$I$247,MATCH($A42,'Master Plan'!$A$7:$A$247,0)))</x:f>
      </x:c>
      <x:c r="J42" s="27" t="str">
        <x:f>IF($A42="","",INDEX('Master Plan'!$J$7:$J$247,MATCH($A42,'Master Plan'!$A$7:$A$247,0)))</x:f>
      </x:c>
      <x:c r="K42" s="27" t="str">
        <x:f>IF($A42="","",INDEX('Master Plan'!$K$7:$K$247,MATCH($A42,'Master Plan'!$A$7:$A$247,0)))</x:f>
      </x:c>
    </x:row>
    <x:row r="43" ht="25" customHeight="1">
      <x:c r="A43" s="21" t="str">
        <x:f>IF(ROWS($A$8:A43)&gt;COUNT('Master Plan'!$P$7:$P$247),"",INDEX('Master Plan'!$A$7:$A$247,MATCH(ROWS($A$8:A43),'Master Plan'!$P$7:$P$247,0)))</x:f>
        <x:v>​3.2</x:v>
      </x:c>
      <x:c r="B43" s="18" t="str">
        <x:f>IF($A43="","",INDEX('Master Plan'!$B$7:$B$247,MATCH($A43,'Master Plan'!$A$7:$A$247,0)))</x:f>
        <x:v>Vendor / Contract Readiness</x:v>
      </x:c>
      <x:c r="C43" s="18" t="str">
        <x:f>IF($A43="","",INDEX('Master Plan'!$C$7:$C$247,MATCH($A43,'Master Plan'!$A$7:$A$247,0)))</x:f>
        <x:v>Confirm licensed capabilities</x:v>
      </x:c>
      <x:c r="D43" s="18" t="str">
        <x:f>IF($A43="","",INDEX('Master Plan'!$D$7:$D$247,MATCH($A43,'Master Plan'!$A$7:$A$247,0)))</x:f>
        <x:v>Procurement</x:v>
      </x:c>
      <x:c r="E43" s="23" t="n">
        <x:f>IF($A43="","",INDEX('Master Plan'!$E$7:$E$247,MATCH($A43,'Master Plan'!$A$7:$A$247,0)))</x:f>
        <x:v>1</x:v>
      </x:c>
      <x:c r="F43" s="23" t="n">
        <x:f>IF($A43="","",INDEX('Master Plan'!$F$7:$F$247,MATCH($A43,'Master Plan'!$A$7:$A$247,0)))</x:f>
        <x:v>1</x:v>
      </x:c>
      <x:c r="G43" s="23" t="str">
        <x:f>IF($A43="","",INDEX('Master Plan'!$G$7:$G$247,MATCH($A43,'Master Plan'!$A$7:$A$247,0)))</x:f>
        <x:v>Not Started</x:v>
      </x:c>
      <x:c r="H43" s="23" t="str">
        <x:f>IF($A43="","",INDEX('Master Plan'!$H$7:$H$247,MATCH($A43,'Master Plan'!$A$7:$A$247,0)))</x:f>
        <x:v>Due Soon</x:v>
      </x:c>
      <x:c r="I43" s="27" t="str">
        <x:f>IF($A43="","",INDEX('Master Plan'!$I$7:$I$247,MATCH($A43,'Master Plan'!$A$7:$A$247,0)))</x:f>
      </x:c>
      <x:c r="J43" s="27" t="str">
        <x:f>IF($A43="","",INDEX('Master Plan'!$J$7:$J$247,MATCH($A43,'Master Plan'!$A$7:$A$247,0)))</x:f>
      </x:c>
      <x:c r="K43" s="27" t="str">
        <x:f>IF($A43="","",INDEX('Master Plan'!$K$7:$K$247,MATCH($A43,'Master Plan'!$A$7:$A$247,0)))</x:f>
        <x:v>Product</x:v>
      </x:c>
    </x:row>
    <x:row r="44" ht="25" customHeight="1">
      <x:c r="A44" s="21" t="str">
        <x:f>IF(ROWS($A$8:A44)&gt;COUNT('Master Plan'!$P$7:$P$247),"",INDEX('Master Plan'!$A$7:$A$247,MATCH(ROWS($A$8:A44),'Master Plan'!$P$7:$P$247,0)))</x:f>
        <x:v>​3.3</x:v>
      </x:c>
      <x:c r="B44" s="18" t="str">
        <x:f>IF($A44="","",INDEX('Master Plan'!$B$7:$B$247,MATCH($A44,'Master Plan'!$A$7:$A$247,0)))</x:f>
        <x:v>Vendor / Contract Readiness</x:v>
      </x:c>
      <x:c r="C44" s="18" t="str">
        <x:f>IF($A44="","",INDEX('Master Plan'!$C$7:$C$247,MATCH($A44,'Master Plan'!$A$7:$A$247,0)))</x:f>
        <x:v>Review Fiserv dependencies</x:v>
      </x:c>
      <x:c r="D44" s="18" t="str">
        <x:f>IF($A44="","",INDEX('Master Plan'!$D$7:$D$247,MATCH($A44,'Master Plan'!$A$7:$A$247,0)))</x:f>
        <x:v>PM</x:v>
      </x:c>
      <x:c r="E44" s="23" t="n">
        <x:f>IF($A44="","",INDEX('Master Plan'!$E$7:$E$247,MATCH($A44,'Master Plan'!$A$7:$A$247,0)))</x:f>
        <x:v>1</x:v>
      </x:c>
      <x:c r="F44" s="23" t="n">
        <x:f>IF($A44="","",INDEX('Master Plan'!$F$7:$F$247,MATCH($A44,'Master Plan'!$A$7:$A$247,0)))</x:f>
        <x:v>1</x:v>
      </x:c>
      <x:c r="G44" s="23" t="str">
        <x:f>IF($A44="","",INDEX('Master Plan'!$G$7:$G$247,MATCH($A44,'Master Plan'!$A$7:$A$247,0)))</x:f>
        <x:v>Not Started</x:v>
      </x:c>
      <x:c r="H44" s="23" t="str">
        <x:f>IF($A44="","",INDEX('Master Plan'!$H$7:$H$247,MATCH($A44,'Master Plan'!$A$7:$A$247,0)))</x:f>
        <x:v>Due Soon</x:v>
      </x:c>
      <x:c r="I44" s="27" t="str">
        <x:f>IF($A44="","",INDEX('Master Plan'!$I$7:$I$247,MATCH($A44,'Master Plan'!$A$7:$A$247,0)))</x:f>
      </x:c>
      <x:c r="J44" s="27" t="str">
        <x:f>IF($A44="","",INDEX('Master Plan'!$J$7:$J$247,MATCH($A44,'Master Plan'!$A$7:$A$247,0)))</x:f>
      </x:c>
      <x:c r="K44" s="27" t="str">
        <x:f>IF($A44="","",INDEX('Master Plan'!$K$7:$K$247,MATCH($A44,'Master Plan'!$A$7:$A$247,0)))</x:f>
        <x:v>Technology</x:v>
      </x:c>
    </x:row>
    <x:row r="45" ht="25" customHeight="1">
      <x:c r="A45" s="21" t="str">
        <x:f>IF(ROWS($A$8:A45)&gt;COUNT('Master Plan'!$P$7:$P$247),"",INDEX('Master Plan'!$A$7:$A$247,MATCH(ROWS($A$8:A45),'Master Plan'!$P$7:$P$247,0)))</x:f>
        <x:v>​3.4</x:v>
      </x:c>
      <x:c r="B45" s="18" t="str">
        <x:f>IF($A45="","",INDEX('Master Plan'!$B$7:$B$247,MATCH($A45,'Master Plan'!$A$7:$A$247,0)))</x:f>
        <x:v>Vendor / Contract Readiness</x:v>
      </x:c>
      <x:c r="C45" s="18" t="str">
        <x:f>IF($A45="","",INDEX('Master Plan'!$C$7:$C$247,MATCH($A45,'Master Plan'!$A$7:$A$247,0)))</x:f>
        <x:v>Confirm implementation fees</x:v>
      </x:c>
      <x:c r="D45" s="18" t="str">
        <x:f>IF($A45="","",INDEX('Master Plan'!$D$7:$D$247,MATCH($A45,'Master Plan'!$A$7:$A$247,0)))</x:f>
        <x:v>Procurement</x:v>
      </x:c>
      <x:c r="E45" s="23" t="n">
        <x:f>IF($A45="","",INDEX('Master Plan'!$E$7:$E$247,MATCH($A45,'Master Plan'!$A$7:$A$247,0)))</x:f>
        <x:v>2</x:v>
      </x:c>
      <x:c r="F45" s="23" t="n">
        <x:f>IF($A45="","",INDEX('Master Plan'!$F$7:$F$247,MATCH($A45,'Master Plan'!$A$7:$A$247,0)))</x:f>
        <x:v>2</x:v>
      </x:c>
      <x:c r="G45" s="23" t="str">
        <x:f>IF($A45="","",INDEX('Master Plan'!$G$7:$G$247,MATCH($A45,'Master Plan'!$A$7:$A$247,0)))</x:f>
        <x:v>Not Started</x:v>
      </x:c>
      <x:c r="H45" s="23" t="str">
        <x:f>IF($A45="","",INDEX('Master Plan'!$H$7:$H$247,MATCH($A45,'Master Plan'!$A$7:$A$247,0)))</x:f>
        <x:v>Due Soon</x:v>
      </x:c>
      <x:c r="I45" s="27" t="str">
        <x:f>IF($A45="","",INDEX('Master Plan'!$I$7:$I$247,MATCH($A45,'Master Plan'!$A$7:$A$247,0)))</x:f>
      </x:c>
      <x:c r="J45" s="27" t="str">
        <x:f>IF($A45="","",INDEX('Master Plan'!$J$7:$J$247,MATCH($A45,'Master Plan'!$A$7:$A$247,0)))</x:f>
      </x:c>
      <x:c r="K45" s="27" t="str">
        <x:f>IF($A45="","",INDEX('Master Plan'!$K$7:$K$247,MATCH($A45,'Master Plan'!$A$7:$A$247,0)))</x:f>
      </x:c>
    </x:row>
    <x:row r="46" ht="25" customHeight="1">
      <x:c r="A46" s="21" t="str">
        <x:f>IF(ROWS($A$8:A46)&gt;COUNT('Master Plan'!$P$7:$P$247),"",INDEX('Master Plan'!$A$7:$A$247,MATCH(ROWS($A$8:A46),'Master Plan'!$P$7:$P$247,0)))</x:f>
        <x:v>​3.5</x:v>
      </x:c>
      <x:c r="B46" s="18" t="str">
        <x:f>IF($A46="","",INDEX('Master Plan'!$B$7:$B$247,MATCH($A46,'Master Plan'!$A$7:$A$247,0)))</x:f>
        <x:v>Vendor / Contract Readiness</x:v>
      </x:c>
      <x:c r="C46" s="18" t="str">
        <x:f>IF($A46="","",INDEX('Master Plan'!$C$7:$C$247,MATCH($A46,'Master Plan'!$A$7:$A$247,0)))</x:f>
        <x:v>Confirm production/support SLAs</x:v>
      </x:c>
      <x:c r="D46" s="18" t="str">
        <x:f>IF($A46="","",INDEX('Master Plan'!$D$7:$D$247,MATCH($A46,'Master Plan'!$A$7:$A$247,0)))</x:f>
        <x:v>Vendor Mgmt</x:v>
      </x:c>
      <x:c r="E46" s="23" t="n">
        <x:f>IF($A46="","",INDEX('Master Plan'!$E$7:$E$247,MATCH($A46,'Master Plan'!$A$7:$A$247,0)))</x:f>
        <x:v>2</x:v>
      </x:c>
      <x:c r="F46" s="23" t="n">
        <x:f>IF($A46="","",INDEX('Master Plan'!$F$7:$F$247,MATCH($A46,'Master Plan'!$A$7:$A$247,0)))</x:f>
        <x:v>2</x:v>
      </x:c>
      <x:c r="G46" s="23" t="str">
        <x:f>IF($A46="","",INDEX('Master Plan'!$G$7:$G$247,MATCH($A46,'Master Plan'!$A$7:$A$247,0)))</x:f>
        <x:v>Not Started</x:v>
      </x:c>
      <x:c r="H46" s="23" t="str">
        <x:f>IF($A46="","",INDEX('Master Plan'!$H$7:$H$247,MATCH($A46,'Master Plan'!$A$7:$A$247,0)))</x:f>
        <x:v>Due Soon</x:v>
      </x:c>
      <x:c r="I46" s="27" t="str">
        <x:f>IF($A46="","",INDEX('Master Plan'!$I$7:$I$247,MATCH($A46,'Master Plan'!$A$7:$A$247,0)))</x:f>
      </x:c>
      <x:c r="J46" s="27" t="str">
        <x:f>IF($A46="","",INDEX('Master Plan'!$J$7:$J$247,MATCH($A46,'Master Plan'!$A$7:$A$247,0)))</x:f>
      </x:c>
      <x:c r="K46" s="27" t="str">
        <x:f>IF($A46="","",INDEX('Master Plan'!$K$7:$K$247,MATCH($A46,'Master Plan'!$A$7:$A$247,0)))</x:f>
      </x:c>
    </x:row>
    <x:row r="47" ht="25" customHeight="1">
      <x:c r="A47" s="21" t="str">
        <x:f>IF(ROWS($A$8:A47)&gt;COUNT('Master Plan'!$P$7:$P$247),"",INDEX('Master Plan'!$A$7:$A$247,MATCH(ROWS($A$8:A47),'Master Plan'!$P$7:$P$247,0)))</x:f>
        <x:v>​3.6</x:v>
      </x:c>
      <x:c r="B47" s="18" t="str">
        <x:f>IF($A47="","",INDEX('Master Plan'!$B$7:$B$247,MATCH($A47,'Master Plan'!$A$7:$A$247,0)))</x:f>
        <x:v>Vendor / Contract Readiness</x:v>
      </x:c>
      <x:c r="C47" s="18" t="str">
        <x:f>IF($A47="","",INDEX('Master Plan'!$C$7:$C$247,MATCH($A47,'Master Plan'!$A$7:$A$247,0)))</x:f>
        <x:v>Confirm data responsibilities</x:v>
      </x:c>
      <x:c r="D47" s="18" t="str">
        <x:f>IF($A47="","",INDEX('Master Plan'!$D$7:$D$247,MATCH($A47,'Master Plan'!$A$7:$A$247,0)))</x:f>
        <x:v>Security</x:v>
      </x:c>
      <x:c r="E47" s="23" t="n">
        <x:f>IF($A47="","",INDEX('Master Plan'!$E$7:$E$247,MATCH($A47,'Master Plan'!$A$7:$A$247,0)))</x:f>
        <x:v>2</x:v>
      </x:c>
      <x:c r="F47" s="23" t="n">
        <x:f>IF($A47="","",INDEX('Master Plan'!$F$7:$F$247,MATCH($A47,'Master Plan'!$A$7:$A$247,0)))</x:f>
        <x:v>2</x:v>
      </x:c>
      <x:c r="G47" s="23" t="str">
        <x:f>IF($A47="","",INDEX('Master Plan'!$G$7:$G$247,MATCH($A47,'Master Plan'!$A$7:$A$247,0)))</x:f>
        <x:v>Not Started</x:v>
      </x:c>
      <x:c r="H47" s="23" t="str">
        <x:f>IF($A47="","",INDEX('Master Plan'!$H$7:$H$247,MATCH($A47,'Master Plan'!$A$7:$A$247,0)))</x:f>
        <x:v>Due Soon</x:v>
      </x:c>
      <x:c r="I47" s="27" t="str">
        <x:f>IF($A47="","",INDEX('Master Plan'!$I$7:$I$247,MATCH($A47,'Master Plan'!$A$7:$A$247,0)))</x:f>
      </x:c>
      <x:c r="J47" s="27" t="str">
        <x:f>IF($A47="","",INDEX('Master Plan'!$J$7:$J$247,MATCH($A47,'Master Plan'!$A$7:$A$247,0)))</x:f>
      </x:c>
      <x:c r="K47" s="27" t="str">
        <x:f>IF($A47="","",INDEX('Master Plan'!$K$7:$K$247,MATCH($A47,'Master Plan'!$A$7:$A$247,0)))</x:f>
        <x:v>Legal</x:v>
      </x:c>
    </x:row>
    <x:row r="48" ht="25" customHeight="1">
      <x:c r="A48" s="21" t="str">
        <x:f>IF(ROWS($A$8:A48)&gt;COUNT('Master Plan'!$P$7:$P$247),"",INDEX('Master Plan'!$A$7:$A$247,MATCH(ROWS($A$8:A48),'Master Plan'!$P$7:$P$247,0)))</x:f>
        <x:v>​3.7</x:v>
      </x:c>
      <x:c r="B48" s="18" t="str">
        <x:f>IF($A48="","",INDEX('Master Plan'!$B$7:$B$247,MATCH($A48,'Master Plan'!$A$7:$A$247,0)))</x:f>
        <x:v>Vendor / Contract Readiness</x:v>
      </x:c>
      <x:c r="C48" s="18" t="str">
        <x:f>IF($A48="","",INDEX('Master Plan'!$C$7:$C$247,MATCH($A48,'Master Plan'!$A$7:$A$247,0)))</x:f>
        <x:v>Complete vendor risk review</x:v>
      </x:c>
      <x:c r="D48" s="18" t="str">
        <x:f>IF($A48="","",INDEX('Master Plan'!$D$7:$D$247,MATCH($A48,'Master Plan'!$A$7:$A$247,0)))</x:f>
        <x:v>Vendor Mgmt</x:v>
      </x:c>
      <x:c r="E48" s="23" t="n">
        <x:f>IF($A48="","",INDEX('Master Plan'!$E$7:$E$247,MATCH($A48,'Master Plan'!$A$7:$A$247,0)))</x:f>
        <x:v>3</x:v>
      </x:c>
      <x:c r="F48" s="23" t="n">
        <x:f>IF($A48="","",INDEX('Master Plan'!$F$7:$F$247,MATCH($A48,'Master Plan'!$A$7:$A$247,0)))</x:f>
        <x:v>3</x:v>
      </x:c>
      <x:c r="G48" s="23" t="str">
        <x:f>IF($A48="","",INDEX('Master Plan'!$G$7:$G$247,MATCH($A48,'Master Plan'!$A$7:$A$247,0)))</x:f>
        <x:v>Not Started</x:v>
      </x:c>
      <x:c r="H48" s="23" t="str">
        <x:f>IF($A48="","",INDEX('Master Plan'!$H$7:$H$247,MATCH($A48,'Master Plan'!$A$7:$A$247,0)))</x:f>
        <x:v>Due Soon</x:v>
      </x:c>
      <x:c r="I48" s="27" t="str">
        <x:f>IF($A48="","",INDEX('Master Plan'!$I$7:$I$247,MATCH($A48,'Master Plan'!$A$7:$A$247,0)))</x:f>
      </x:c>
      <x:c r="J48" s="27" t="str">
        <x:f>IF($A48="","",INDEX('Master Plan'!$J$7:$J$247,MATCH($A48,'Master Plan'!$A$7:$A$247,0)))</x:f>
      </x:c>
      <x:c r="K48" s="27" t="str">
        <x:f>IF($A48="","",INDEX('Master Plan'!$K$7:$K$247,MATCH($A48,'Master Plan'!$A$7:$A$247,0)))</x:f>
      </x:c>
    </x:row>
    <x:row r="49" ht="25" customHeight="1">
      <x:c r="A49" s="21" t="str">
        <x:f>IF(ROWS($A$8:A49)&gt;COUNT('Master Plan'!$P$7:$P$247),"",INDEX('Master Plan'!$A$7:$A$247,MATCH(ROWS($A$8:A49),'Master Plan'!$P$7:$P$247,0)))</x:f>
        <x:v>​4.1</x:v>
      </x:c>
      <x:c r="B49" s="18" t="str">
        <x:f>IF($A49="","",INDEX('Master Plan'!$B$7:$B$247,MATCH($A49,'Master Plan'!$A$7:$A$247,0)))</x:f>
        <x:v>Technical Discovery</x:v>
      </x:c>
      <x:c r="C49" s="18" t="str">
        <x:f>IF($A49="","",INDEX('Master Plan'!$C$7:$C$247,MATCH($A49,'Master Plan'!$A$7:$A$247,0)))</x:f>
        <x:v>Document current Fiserv OLB environment</x:v>
      </x:c>
      <x:c r="D49" s="18" t="str">
        <x:f>IF($A49="","",INDEX('Master Plan'!$D$7:$D$247,MATCH($A49,'Master Plan'!$A$7:$A$247,0)))</x:f>
        <x:v>Client Tech</x:v>
      </x:c>
      <x:c r="E49" s="23" t="n">
        <x:f>IF($A49="","",INDEX('Master Plan'!$E$7:$E$247,MATCH($A49,'Master Plan'!$A$7:$A$247,0)))</x:f>
        <x:v>2</x:v>
      </x:c>
      <x:c r="F49" s="23" t="n">
        <x:f>IF($A49="","",INDEX('Master Plan'!$F$7:$F$247,MATCH($A49,'Master Plan'!$A$7:$A$247,0)))</x:f>
        <x:v>2</x:v>
      </x:c>
      <x:c r="G49" s="23" t="str">
        <x:f>IF($A49="","",INDEX('Master Plan'!$G$7:$G$247,MATCH($A49,'Master Plan'!$A$7:$A$247,0)))</x:f>
        <x:v>Not Started</x:v>
      </x:c>
      <x:c r="H49" s="23" t="str">
        <x:f>IF($A49="","",INDEX('Master Plan'!$H$7:$H$247,MATCH($A49,'Master Plan'!$A$7:$A$247,0)))</x:f>
        <x:v>Due Soon</x:v>
      </x:c>
      <x:c r="I49" s="27" t="str">
        <x:f>IF($A49="","",INDEX('Master Plan'!$I$7:$I$247,MATCH($A49,'Master Plan'!$A$7:$A$247,0)))</x:f>
      </x:c>
      <x:c r="J49" s="27" t="str">
        <x:f>IF($A49="","",INDEX('Master Plan'!$J$7:$J$247,MATCH($A49,'Master Plan'!$A$7:$A$247,0)))</x:f>
      </x:c>
      <x:c r="K49" s="27" t="str">
        <x:f>IF($A49="","",INDEX('Master Plan'!$K$7:$K$247,MATCH($A49,'Master Plan'!$A$7:$A$247,0)))</x:f>
      </x:c>
    </x:row>
    <x:row r="50" ht="25" customHeight="1">
      <x:c r="A50" s="21" t="str">
        <x:f>IF(ROWS($A$8:A50)&gt;COUNT('Master Plan'!$P$7:$P$247),"",INDEX('Master Plan'!$A$7:$A$247,MATCH(ROWS($A$8:A50),'Master Plan'!$P$7:$P$247,0)))</x:f>
        <x:v>​4.2</x:v>
      </x:c>
      <x:c r="B50" s="18" t="str">
        <x:f>IF($A50="","",INDEX('Master Plan'!$B$7:$B$247,MATCH($A50,'Master Plan'!$A$7:$A$247,0)))</x:f>
        <x:v>Technical Discovery</x:v>
      </x:c>
      <x:c r="C50" s="18" t="str">
        <x:f>IF($A50="","",INDEX('Master Plan'!$C$7:$C$247,MATCH($A50,'Master Plan'!$A$7:$A$247,0)))</x:f>
        <x:v>Confirm Fiserv OLB version/configuration</x:v>
      </x:c>
      <x:c r="D50" s="18" t="str">
        <x:f>IF($A50="","",INDEX('Master Plan'!$D$7:$D$247,MATCH($A50,'Master Plan'!$A$7:$A$247,0)))</x:f>
        <x:v>Fiserv</x:v>
      </x:c>
      <x:c r="E50" s="23" t="n">
        <x:f>IF($A50="","",INDEX('Master Plan'!$E$7:$E$247,MATCH($A50,'Master Plan'!$A$7:$A$247,0)))</x:f>
        <x:v>2</x:v>
      </x:c>
      <x:c r="F50" s="23" t="n">
        <x:f>IF($A50="","",INDEX('Master Plan'!$F$7:$F$247,MATCH($A50,'Master Plan'!$A$7:$A$247,0)))</x:f>
        <x:v>2</x:v>
      </x:c>
      <x:c r="G50" s="23" t="str">
        <x:f>IF($A50="","",INDEX('Master Plan'!$G$7:$G$247,MATCH($A50,'Master Plan'!$A$7:$A$247,0)))</x:f>
        <x:v>Not Started</x:v>
      </x:c>
      <x:c r="H50" s="23" t="str">
        <x:f>IF($A50="","",INDEX('Master Plan'!$H$7:$H$247,MATCH($A50,'Master Plan'!$A$7:$A$247,0)))</x:f>
        <x:v>Due Soon</x:v>
      </x:c>
      <x:c r="I50" s="27" t="str">
        <x:f>IF($A50="","",INDEX('Master Plan'!$I$7:$I$247,MATCH($A50,'Master Plan'!$A$7:$A$247,0)))</x:f>
      </x:c>
      <x:c r="J50" s="27" t="str">
        <x:f>IF($A50="","",INDEX('Master Plan'!$J$7:$J$247,MATCH($A50,'Master Plan'!$A$7:$A$247,0)))</x:f>
      </x:c>
      <x:c r="K50" s="27" t="str">
        <x:f>IF($A50="","",INDEX('Master Plan'!$K$7:$K$247,MATCH($A50,'Master Plan'!$A$7:$A$247,0)))</x:f>
      </x:c>
    </x:row>
    <x:row r="51" ht="25" customHeight="1">
      <x:c r="A51" s="21" t="str">
        <x:f>IF(ROWS($A$8:A51)&gt;COUNT('Master Plan'!$P$7:$P$247),"",INDEX('Master Plan'!$A$7:$A$247,MATCH(ROWS($A$8:A51),'Master Plan'!$P$7:$P$247,0)))</x:f>
        <x:v>​4.3</x:v>
      </x:c>
      <x:c r="B51" s="18" t="str">
        <x:f>IF($A51="","",INDEX('Master Plan'!$B$7:$B$247,MATCH($A51,'Master Plan'!$A$7:$A$247,0)))</x:f>
        <x:v>Technical Discovery</x:v>
      </x:c>
      <x:c r="C51" s="18" t="str">
        <x:f>IF($A51="","",INDEX('Master Plan'!$C$7:$C$247,MATCH($A51,'Master Plan'!$A$7:$A$247,0)))</x:f>
        <x:v>Review Credit Sense architecture</x:v>
      </x:c>
      <x:c r="D51" s="18" t="str">
        <x:f>IF($A51="","",INDEX('Master Plan'!$D$7:$D$247,MATCH($A51,'Master Plan'!$A$7:$A$247,0)))</x:f>
        <x:v>SavvyMoney</x:v>
      </x:c>
      <x:c r="E51" s="23" t="n">
        <x:f>IF($A51="","",INDEX('Master Plan'!$E$7:$E$247,MATCH($A51,'Master Plan'!$A$7:$A$247,0)))</x:f>
        <x:v>2</x:v>
      </x:c>
      <x:c r="F51" s="23" t="n">
        <x:f>IF($A51="","",INDEX('Master Plan'!$F$7:$F$247,MATCH($A51,'Master Plan'!$A$7:$A$247,0)))</x:f>
        <x:v>2</x:v>
      </x:c>
      <x:c r="G51" s="23" t="str">
        <x:f>IF($A51="","",INDEX('Master Plan'!$G$7:$G$247,MATCH($A51,'Master Plan'!$A$7:$A$247,0)))</x:f>
        <x:v>Not Started</x:v>
      </x:c>
      <x:c r="H51" s="23" t="str">
        <x:f>IF($A51="","",INDEX('Master Plan'!$H$7:$H$247,MATCH($A51,'Master Plan'!$A$7:$A$247,0)))</x:f>
        <x:v>Due Soon</x:v>
      </x:c>
      <x:c r="I51" s="27" t="str">
        <x:f>IF($A51="","",INDEX('Master Plan'!$I$7:$I$247,MATCH($A51,'Master Plan'!$A$7:$A$247,0)))</x:f>
      </x:c>
      <x:c r="J51" s="27" t="str">
        <x:f>IF($A51="","",INDEX('Master Plan'!$J$7:$J$247,MATCH($A51,'Master Plan'!$A$7:$A$247,0)))</x:f>
      </x:c>
      <x:c r="K51" s="27" t="str">
        <x:f>IF($A51="","",INDEX('Master Plan'!$K$7:$K$247,MATCH($A51,'Master Plan'!$A$7:$A$247,0)))</x:f>
      </x:c>
    </x:row>
    <x:row r="52" ht="25" customHeight="1">
      <x:c r="A52" s="21" t="str">
        <x:f>IF(ROWS($A$8:A52)&gt;COUNT('Master Plan'!$P$7:$P$247),"",INDEX('Master Plan'!$A$7:$A$247,MATCH(ROWS($A$8:A52),'Master Plan'!$P$7:$P$247,0)))</x:f>
        <x:v>​4.4</x:v>
      </x:c>
      <x:c r="B52" s="18" t="str">
        <x:f>IF($A52="","",INDEX('Master Plan'!$B$7:$B$247,MATCH($A52,'Master Plan'!$A$7:$A$247,0)))</x:f>
        <x:v>Technical Discovery</x:v>
      </x:c>
      <x:c r="C52" s="18" t="str">
        <x:f>IF($A52="","",INDEX('Master Plan'!$C$7:$C$247,MATCH($A52,'Master Plan'!$A$7:$A$247,0)))</x:f>
        <x:v>Confirm integration method</x:v>
      </x:c>
      <x:c r="D52" s="18" t="str">
        <x:f>IF($A52="","",INDEX('Master Plan'!$D$7:$D$247,MATCH($A52,'Master Plan'!$A$7:$A$247,0)))</x:f>
        <x:v>Fiserv</x:v>
      </x:c>
      <x:c r="E52" s="23" t="n">
        <x:f>IF($A52="","",INDEX('Master Plan'!$E$7:$E$247,MATCH($A52,'Master Plan'!$A$7:$A$247,0)))</x:f>
        <x:v>2</x:v>
      </x:c>
      <x:c r="F52" s="23" t="n">
        <x:f>IF($A52="","",INDEX('Master Plan'!$F$7:$F$247,MATCH($A52,'Master Plan'!$A$7:$A$247,0)))</x:f>
        <x:v>2</x:v>
      </x:c>
      <x:c r="G52" s="23" t="str">
        <x:f>IF($A52="","",INDEX('Master Plan'!$G$7:$G$247,MATCH($A52,'Master Plan'!$A$7:$A$247,0)))</x:f>
        <x:v>Not Started</x:v>
      </x:c>
      <x:c r="H52" s="23" t="str">
        <x:f>IF($A52="","",INDEX('Master Plan'!$H$7:$H$247,MATCH($A52,'Master Plan'!$A$7:$A$247,0)))</x:f>
        <x:v>Due Soon</x:v>
      </x:c>
      <x:c r="I52" s="27" t="str">
        <x:f>IF($A52="","",INDEX('Master Plan'!$I$7:$I$247,MATCH($A52,'Master Plan'!$A$7:$A$247,0)))</x:f>
      </x:c>
      <x:c r="J52" s="27" t="str">
        <x:f>IF($A52="","",INDEX('Master Plan'!$J$7:$J$247,MATCH($A52,'Master Plan'!$A$7:$A$247,0)))</x:f>
      </x:c>
      <x:c r="K52" s="27" t="str">
        <x:f>IF($A52="","",INDEX('Master Plan'!$K$7:$K$247,MATCH($A52,'Master Plan'!$A$7:$A$247,0)))</x:f>
        <x:v>SavvyMoney</x:v>
      </x:c>
    </x:row>
    <x:row r="53" ht="25" customHeight="1">
      <x:c r="A53" s="21" t="str">
        <x:f>IF(ROWS($A$8:A53)&gt;COUNT('Master Plan'!$P$7:$P$247),"",INDEX('Master Plan'!$A$7:$A$247,MATCH(ROWS($A$8:A53),'Master Plan'!$P$7:$P$247,0)))</x:f>
        <x:v>​4.5</x:v>
      </x:c>
      <x:c r="B53" s="18" t="str">
        <x:f>IF($A53="","",INDEX('Master Plan'!$B$7:$B$247,MATCH($A53,'Master Plan'!$A$7:$A$247,0)))</x:f>
        <x:v>Technical Discovery</x:v>
      </x:c>
      <x:c r="C53" s="18" t="str">
        <x:f>IF($A53="","",INDEX('Master Plan'!$C$7:$C$247,MATCH($A53,'Master Plan'!$A$7:$A$247,0)))</x:f>
        <x:v>Confirm SSO method</x:v>
      </x:c>
      <x:c r="D53" s="18" t="str">
        <x:f>IF($A53="","",INDEX('Master Plan'!$D$7:$D$247,MATCH($A53,'Master Plan'!$A$7:$A$247,0)))</x:f>
        <x:v>Fiserv</x:v>
      </x:c>
      <x:c r="E53" s="23" t="n">
        <x:f>IF($A53="","",INDEX('Master Plan'!$E$7:$E$247,MATCH($A53,'Master Plan'!$A$7:$A$247,0)))</x:f>
        <x:v>2</x:v>
      </x:c>
      <x:c r="F53" s="23" t="n">
        <x:f>IF($A53="","",INDEX('Master Plan'!$F$7:$F$247,MATCH($A53,'Master Plan'!$A$7:$A$247,0)))</x:f>
        <x:v>2</x:v>
      </x:c>
      <x:c r="G53" s="23" t="str">
        <x:f>IF($A53="","",INDEX('Master Plan'!$G$7:$G$247,MATCH($A53,'Master Plan'!$A$7:$A$247,0)))</x:f>
        <x:v>Not Started</x:v>
      </x:c>
      <x:c r="H53" s="23" t="str">
        <x:f>IF($A53="","",INDEX('Master Plan'!$H$7:$H$247,MATCH($A53,'Master Plan'!$A$7:$A$247,0)))</x:f>
        <x:v>Due Soon</x:v>
      </x:c>
      <x:c r="I53" s="27" t="str">
        <x:f>IF($A53="","",INDEX('Master Plan'!$I$7:$I$247,MATCH($A53,'Master Plan'!$A$7:$A$247,0)))</x:f>
      </x:c>
      <x:c r="J53" s="27" t="str">
        <x:f>IF($A53="","",INDEX('Master Plan'!$J$7:$J$247,MATCH($A53,'Master Plan'!$A$7:$A$247,0)))</x:f>
      </x:c>
      <x:c r="K53" s="27" t="str">
        <x:f>IF($A53="","",INDEX('Master Plan'!$K$7:$K$247,MATCH($A53,'Master Plan'!$A$7:$A$247,0)))</x:f>
        <x:v>SavvyMoney</x:v>
      </x:c>
    </x:row>
    <x:row r="54" ht="25" customHeight="1">
      <x:c r="A54" s="21" t="str">
        <x:f>IF(ROWS($A$8:A54)&gt;COUNT('Master Plan'!$P$7:$P$247),"",INDEX('Master Plan'!$A$7:$A$247,MATCH(ROWS($A$8:A54),'Master Plan'!$P$7:$P$247,0)))</x:f>
        <x:v>​4.6</x:v>
      </x:c>
      <x:c r="B54" s="18" t="str">
        <x:f>IF($A54="","",INDEX('Master Plan'!$B$7:$B$247,MATCH($A54,'Master Plan'!$A$7:$A$247,0)))</x:f>
        <x:v>Technical Discovery</x:v>
      </x:c>
      <x:c r="C54" s="18" t="str">
        <x:f>IF($A54="","",INDEX('Master Plan'!$C$7:$C$247,MATCH($A54,'Master Plan'!$A$7:$A$247,0)))</x:f>
        <x:v>Identify customer identifiers</x:v>
      </x:c>
      <x:c r="D54" s="18" t="str">
        <x:f>IF($A54="","",INDEX('Master Plan'!$D$7:$D$247,MATCH($A54,'Master Plan'!$A$7:$A$247,0)))</x:f>
        <x:v>Client Tech</x:v>
      </x:c>
      <x:c r="E54" s="23" t="n">
        <x:f>IF($A54="","",INDEX('Master Plan'!$E$7:$E$247,MATCH($A54,'Master Plan'!$A$7:$A$247,0)))</x:f>
        <x:v>2</x:v>
      </x:c>
      <x:c r="F54" s="23" t="n">
        <x:f>IF($A54="","",INDEX('Master Plan'!$F$7:$F$247,MATCH($A54,'Master Plan'!$A$7:$A$247,0)))</x:f>
        <x:v>2</x:v>
      </x:c>
      <x:c r="G54" s="23" t="str">
        <x:f>IF($A54="","",INDEX('Master Plan'!$G$7:$G$247,MATCH($A54,'Master Plan'!$A$7:$A$247,0)))</x:f>
        <x:v>Not Started</x:v>
      </x:c>
      <x:c r="H54" s="23" t="str">
        <x:f>IF($A54="","",INDEX('Master Plan'!$H$7:$H$247,MATCH($A54,'Master Plan'!$A$7:$A$247,0)))</x:f>
        <x:v>Due Soon</x:v>
      </x:c>
      <x:c r="I54" s="27" t="str">
        <x:f>IF($A54="","",INDEX('Master Plan'!$I$7:$I$247,MATCH($A54,'Master Plan'!$A$7:$A$247,0)))</x:f>
      </x:c>
      <x:c r="J54" s="27" t="str">
        <x:f>IF($A54="","",INDEX('Master Plan'!$J$7:$J$247,MATCH($A54,'Master Plan'!$A$7:$A$247,0)))</x:f>
      </x:c>
      <x:c r="K54" s="27" t="str">
        <x:f>IF($A54="","",INDEX('Master Plan'!$K$7:$K$247,MATCH($A54,'Master Plan'!$A$7:$A$247,0)))</x:f>
      </x:c>
    </x:row>
    <x:row r="55" ht="25" customHeight="1">
      <x:c r="A55" s="21" t="str">
        <x:f>IF(ROWS($A$8:A55)&gt;COUNT('Master Plan'!$P$7:$P$247),"",INDEX('Master Plan'!$A$7:$A$247,MATCH(ROWS($A$8:A55),'Master Plan'!$P$7:$P$247,0)))</x:f>
        <x:v>​4.7</x:v>
      </x:c>
      <x:c r="B55" s="18" t="str">
        <x:f>IF($A55="","",INDEX('Master Plan'!$B$7:$B$247,MATCH($A55,'Master Plan'!$A$7:$A$247,0)))</x:f>
        <x:v>Technical Discovery</x:v>
      </x:c>
      <x:c r="C55" s="18" t="str">
        <x:f>IF($A55="","",INDEX('Master Plan'!$C$7:$C$247,MATCH($A55,'Master Plan'!$A$7:$A$247,0)))</x:f>
        <x:v>Map required customer attributes</x:v>
      </x:c>
      <x:c r="D55" s="18" t="str">
        <x:f>IF($A55="","",INDEX('Master Plan'!$D$7:$D$247,MATCH($A55,'Master Plan'!$A$7:$A$247,0)))</x:f>
        <x:v>Client</x:v>
      </x:c>
      <x:c r="E55" s="23" t="n">
        <x:f>IF($A55="","",INDEX('Master Plan'!$E$7:$E$247,MATCH($A55,'Master Plan'!$A$7:$A$247,0)))</x:f>
        <x:v>3</x:v>
      </x:c>
      <x:c r="F55" s="23" t="n">
        <x:f>IF($A55="","",INDEX('Master Plan'!$F$7:$F$247,MATCH($A55,'Master Plan'!$A$7:$A$247,0)))</x:f>
        <x:v>3</x:v>
      </x:c>
      <x:c r="G55" s="23" t="str">
        <x:f>IF($A55="","",INDEX('Master Plan'!$G$7:$G$247,MATCH($A55,'Master Plan'!$A$7:$A$247,0)))</x:f>
        <x:v>Not Started</x:v>
      </x:c>
      <x:c r="H55" s="23" t="str">
        <x:f>IF($A55="","",INDEX('Master Plan'!$H$7:$H$247,MATCH($A55,'Master Plan'!$A$7:$A$247,0)))</x:f>
        <x:v>Due Soon</x:v>
      </x:c>
      <x:c r="I55" s="27" t="str">
        <x:f>IF($A55="","",INDEX('Master Plan'!$I$7:$I$247,MATCH($A55,'Master Plan'!$A$7:$A$247,0)))</x:f>
      </x:c>
      <x:c r="J55" s="27" t="str">
        <x:f>IF($A55="","",INDEX('Master Plan'!$J$7:$J$247,MATCH($A55,'Master Plan'!$A$7:$A$247,0)))</x:f>
      </x:c>
      <x:c r="K55" s="27" t="str">
        <x:f>IF($A55="","",INDEX('Master Plan'!$K$7:$K$247,MATCH($A55,'Master Plan'!$A$7:$A$247,0)))</x:f>
        <x:v>SavvyMoney</x:v>
      </x:c>
    </x:row>
    <x:row r="56" ht="25" customHeight="1">
      <x:c r="A56" s="21" t="str">
        <x:f>IF(ROWS($A$8:A56)&gt;COUNT('Master Plan'!$P$7:$P$247),"",INDEX('Master Plan'!$A$7:$A$247,MATCH(ROWS($A$8:A56),'Master Plan'!$P$7:$P$247,0)))</x:f>
        <x:v>​4.8</x:v>
      </x:c>
      <x:c r="B56" s="18" t="str">
        <x:f>IF($A56="","",INDEX('Master Plan'!$B$7:$B$247,MATCH($A56,'Master Plan'!$A$7:$A$247,0)))</x:f>
        <x:v>Technical Discovery</x:v>
      </x:c>
      <x:c r="C56" s="18" t="str">
        <x:f>IF($A56="","",INDEX('Master Plan'!$C$7:$C$247,MATCH($A56,'Master Plan'!$A$7:$A$247,0)))</x:f>
        <x:v>Document authentication flow</x:v>
      </x:c>
      <x:c r="D56" s="18" t="str">
        <x:f>IF($A56="","",INDEX('Master Plan'!$D$7:$D$247,MATCH($A56,'Master Plan'!$A$7:$A$247,0)))</x:f>
        <x:v>Architecture</x:v>
      </x:c>
      <x:c r="E56" s="23" t="n">
        <x:f>IF($A56="","",INDEX('Master Plan'!$E$7:$E$247,MATCH($A56,'Master Plan'!$A$7:$A$247,0)))</x:f>
        <x:v>3</x:v>
      </x:c>
      <x:c r="F56" s="23" t="n">
        <x:f>IF($A56="","",INDEX('Master Plan'!$F$7:$F$247,MATCH($A56,'Master Plan'!$A$7:$A$247,0)))</x:f>
        <x:v>3</x:v>
      </x:c>
      <x:c r="G56" s="23" t="str">
        <x:f>IF($A56="","",INDEX('Master Plan'!$G$7:$G$247,MATCH($A56,'Master Plan'!$A$7:$A$247,0)))</x:f>
        <x:v>Not Started</x:v>
      </x:c>
      <x:c r="H56" s="23" t="str">
        <x:f>IF($A56="","",INDEX('Master Plan'!$H$7:$H$247,MATCH($A56,'Master Plan'!$A$7:$A$247,0)))</x:f>
        <x:v>Due Soon</x:v>
      </x:c>
      <x:c r="I56" s="27" t="str">
        <x:f>IF($A56="","",INDEX('Master Plan'!$I$7:$I$247,MATCH($A56,'Master Plan'!$A$7:$A$247,0)))</x:f>
      </x:c>
      <x:c r="J56" s="27" t="str">
        <x:f>IF($A56="","",INDEX('Master Plan'!$J$7:$J$247,MATCH($A56,'Master Plan'!$A$7:$A$247,0)))</x:f>
      </x:c>
      <x:c r="K56" s="27" t="str">
        <x:f>IF($A56="","",INDEX('Master Plan'!$K$7:$K$247,MATCH($A56,'Master Plan'!$A$7:$A$247,0)))</x:f>
      </x:c>
    </x:row>
    <x:row r="57" ht="25" customHeight="1">
      <x:c r="A57" s="21" t="str">
        <x:f>IF(ROWS($A$8:A57)&gt;COUNT('Master Plan'!$P$7:$P$247),"",INDEX('Master Plan'!$A$7:$A$247,MATCH(ROWS($A$8:A57),'Master Plan'!$P$7:$P$247,0)))</x:f>
        <x:v>​4.9</x:v>
      </x:c>
      <x:c r="B57" s="18" t="str">
        <x:f>IF($A57="","",INDEX('Master Plan'!$B$7:$B$247,MATCH($A57,'Master Plan'!$A$7:$A$247,0)))</x:f>
        <x:v>Technical Discovery</x:v>
      </x:c>
      <x:c r="C57" s="18" t="str">
        <x:f>IF($A57="","",INDEX('Master Plan'!$C$7:$C$247,MATCH($A57,'Master Plan'!$A$7:$A$247,0)))</x:f>
        <x:v>Document enrollment flow</x:v>
      </x:c>
      <x:c r="D57" s="18" t="str">
        <x:f>IF($A57="","",INDEX('Master Plan'!$D$7:$D$247,MATCH($A57,'Master Plan'!$A$7:$A$247,0)))</x:f>
        <x:v>Architecture</x:v>
      </x:c>
      <x:c r="E57" s="23" t="n">
        <x:f>IF($A57="","",INDEX('Master Plan'!$E$7:$E$247,MATCH($A57,'Master Plan'!$A$7:$A$247,0)))</x:f>
        <x:v>3</x:v>
      </x:c>
      <x:c r="F57" s="23" t="n">
        <x:f>IF($A57="","",INDEX('Master Plan'!$F$7:$F$247,MATCH($A57,'Master Plan'!$A$7:$A$247,0)))</x:f>
        <x:v>3</x:v>
      </x:c>
      <x:c r="G57" s="23" t="str">
        <x:f>IF($A57="","",INDEX('Master Plan'!$G$7:$G$247,MATCH($A57,'Master Plan'!$A$7:$A$247,0)))</x:f>
        <x:v>Not Started</x:v>
      </x:c>
      <x:c r="H57" s="23" t="str">
        <x:f>IF($A57="","",INDEX('Master Plan'!$H$7:$H$247,MATCH($A57,'Master Plan'!$A$7:$A$247,0)))</x:f>
        <x:v>Due Soon</x:v>
      </x:c>
      <x:c r="I57" s="27" t="str">
        <x:f>IF($A57="","",INDEX('Master Plan'!$I$7:$I$247,MATCH($A57,'Master Plan'!$A$7:$A$247,0)))</x:f>
      </x:c>
      <x:c r="J57" s="27" t="str">
        <x:f>IF($A57="","",INDEX('Master Plan'!$J$7:$J$247,MATCH($A57,'Master Plan'!$A$7:$A$247,0)))</x:f>
      </x:c>
      <x:c r="K57" s="27" t="str">
        <x:f>IF($A57="","",INDEX('Master Plan'!$K$7:$K$247,MATCH($A57,'Master Plan'!$A$7:$A$247,0)))</x:f>
        <x:v>Product</x:v>
      </x:c>
    </x:row>
    <x:row r="58" ht="25" customHeight="1">
      <x:c r="A58" s="21" t="str">
        <x:f>IF(ROWS($A$8:A58)&gt;COUNT('Master Plan'!$P$7:$P$247),"",INDEX('Master Plan'!$A$7:$A$247,MATCH(ROWS($A$8:A58),'Master Plan'!$P$7:$P$247,0)))</x:f>
        <x:v>​4.10</x:v>
      </x:c>
      <x:c r="B58" s="18" t="str">
        <x:f>IF($A58="","",INDEX('Master Plan'!$B$7:$B$247,MATCH($A58,'Master Plan'!$A$7:$A$247,0)))</x:f>
        <x:v>Technical Discovery</x:v>
      </x:c>
      <x:c r="C58" s="18" t="str">
        <x:f>IF($A58="","",INDEX('Master Plan'!$C$7:$C$247,MATCH($A58,'Master Plan'!$A$7:$A$247,0)))</x:f>
        <x:v>Document data flow</x:v>
      </x:c>
      <x:c r="D58" s="18" t="str">
        <x:f>IF($A58="","",INDEX('Master Plan'!$D$7:$D$247,MATCH($A58,'Master Plan'!$A$7:$A$247,0)))</x:f>
        <x:v>Architecture</x:v>
      </x:c>
      <x:c r="E58" s="23" t="n">
        <x:f>IF($A58="","",INDEX('Master Plan'!$E$7:$E$247,MATCH($A58,'Master Plan'!$A$7:$A$247,0)))</x:f>
        <x:v>3</x:v>
      </x:c>
      <x:c r="F58" s="23" t="n">
        <x:f>IF($A58="","",INDEX('Master Plan'!$F$7:$F$247,MATCH($A58,'Master Plan'!$A$7:$A$247,0)))</x:f>
        <x:v>3</x:v>
      </x:c>
      <x:c r="G58" s="23" t="str">
        <x:f>IF($A58="","",INDEX('Master Plan'!$G$7:$G$247,MATCH($A58,'Master Plan'!$A$7:$A$247,0)))</x:f>
        <x:v>Not Started</x:v>
      </x:c>
      <x:c r="H58" s="23" t="str">
        <x:f>IF($A58="","",INDEX('Master Plan'!$H$7:$H$247,MATCH($A58,'Master Plan'!$A$7:$A$247,0)))</x:f>
        <x:v>Due Soon</x:v>
      </x:c>
      <x:c r="I58" s="27" t="str">
        <x:f>IF($A58="","",INDEX('Master Plan'!$I$7:$I$247,MATCH($A58,'Master Plan'!$A$7:$A$247,0)))</x:f>
      </x:c>
      <x:c r="J58" s="27" t="str">
        <x:f>IF($A58="","",INDEX('Master Plan'!$J$7:$J$247,MATCH($A58,'Master Plan'!$A$7:$A$247,0)))</x:f>
      </x:c>
      <x:c r="K58" s="27" t="str">
        <x:f>IF($A58="","",INDEX('Master Plan'!$K$7:$K$247,MATCH($A58,'Master Plan'!$A$7:$A$247,0)))</x:f>
      </x:c>
    </x:row>
    <x:row r="59" ht="25" customHeight="1">
      <x:c r="A59" s="21" t="str">
        <x:f>IF(ROWS($A$8:A59)&gt;COUNT('Master Plan'!$P$7:$P$247),"",INDEX('Master Plan'!$A$7:$A$247,MATCH(ROWS($A$8:A59),'Master Plan'!$P$7:$P$247,0)))</x:f>
        <x:v>​4.11</x:v>
      </x:c>
      <x:c r="B59" s="18" t="str">
        <x:f>IF($A59="","",INDEX('Master Plan'!$B$7:$B$247,MATCH($A59,'Master Plan'!$A$7:$A$247,0)))</x:f>
        <x:v>Technical Discovery</x:v>
      </x:c>
      <x:c r="C59" s="18" t="str">
        <x:f>IF($A59="","",INDEX('Master Plan'!$C$7:$C$247,MATCH($A59,'Master Plan'!$A$7:$A$247,0)))</x:f>
        <x:v>Confirm test environment</x:v>
      </x:c>
      <x:c r="D59" s="18" t="str">
        <x:f>IF($A59="","",INDEX('Master Plan'!$D$7:$D$247,MATCH($A59,'Master Plan'!$A$7:$A$247,0)))</x:f>
        <x:v>Fiserv</x:v>
      </x:c>
      <x:c r="E59" s="23" t="n">
        <x:f>IF($A59="","",INDEX('Master Plan'!$E$7:$E$247,MATCH($A59,'Master Plan'!$A$7:$A$247,0)))</x:f>
        <x:v>3</x:v>
      </x:c>
      <x:c r="F59" s="23" t="n">
        <x:f>IF($A59="","",INDEX('Master Plan'!$F$7:$F$247,MATCH($A59,'Master Plan'!$A$7:$A$247,0)))</x:f>
        <x:v>3</x:v>
      </x:c>
      <x:c r="G59" s="23" t="str">
        <x:f>IF($A59="","",INDEX('Master Plan'!$G$7:$G$247,MATCH($A59,'Master Plan'!$A$7:$A$247,0)))</x:f>
        <x:v>Not Started</x:v>
      </x:c>
      <x:c r="H59" s="23" t="str">
        <x:f>IF($A59="","",INDEX('Master Plan'!$H$7:$H$247,MATCH($A59,'Master Plan'!$A$7:$A$247,0)))</x:f>
        <x:v>Due Soon</x:v>
      </x:c>
      <x:c r="I59" s="27" t="str">
        <x:f>IF($A59="","",INDEX('Master Plan'!$I$7:$I$247,MATCH($A59,'Master Plan'!$A$7:$A$247,0)))</x:f>
      </x:c>
      <x:c r="J59" s="27" t="str">
        <x:f>IF($A59="","",INDEX('Master Plan'!$J$7:$J$247,MATCH($A59,'Master Plan'!$A$7:$A$247,0)))</x:f>
      </x:c>
      <x:c r="K59" s="27" t="str">
        <x:f>IF($A59="","",INDEX('Master Plan'!$K$7:$K$247,MATCH($A59,'Master Plan'!$A$7:$A$247,0)))</x:f>
      </x:c>
    </x:row>
    <x:row r="60" ht="25" customHeight="1">
      <x:c r="A60" s="21" t="str">
        <x:f>IF(ROWS($A$8:A60)&gt;COUNT('Master Plan'!$P$7:$P$247),"",INDEX('Master Plan'!$A$7:$A$247,MATCH(ROWS($A$8:A60),'Master Plan'!$P$7:$P$247,0)))</x:f>
        <x:v>​4.12</x:v>
      </x:c>
      <x:c r="B60" s="18" t="str">
        <x:f>IF($A60="","",INDEX('Master Plan'!$B$7:$B$247,MATCH($A60,'Master Plan'!$A$7:$A$247,0)))</x:f>
        <x:v>Technical Discovery</x:v>
      </x:c>
      <x:c r="C60" s="18" t="str">
        <x:f>IF($A60="","",INDEX('Master Plan'!$C$7:$C$247,MATCH($A60,'Master Plan'!$A$7:$A$247,0)))</x:f>
        <x:v>Confirm production environment</x:v>
      </x:c>
      <x:c r="D60" s="18" t="str">
        <x:f>IF($A60="","",INDEX('Master Plan'!$D$7:$D$247,MATCH($A60,'Master Plan'!$A$7:$A$247,0)))</x:f>
        <x:v>Fiserv</x:v>
      </x:c>
      <x:c r="E60" s="23" t="n">
        <x:f>IF($A60="","",INDEX('Master Plan'!$E$7:$E$247,MATCH($A60,'Master Plan'!$A$7:$A$247,0)))</x:f>
        <x:v>3</x:v>
      </x:c>
      <x:c r="F60" s="23" t="n">
        <x:f>IF($A60="","",INDEX('Master Plan'!$F$7:$F$247,MATCH($A60,'Master Plan'!$A$7:$A$247,0)))</x:f>
        <x:v>3</x:v>
      </x:c>
      <x:c r="G60" s="23" t="str">
        <x:f>IF($A60="","",INDEX('Master Plan'!$G$7:$G$247,MATCH($A60,'Master Plan'!$A$7:$A$247,0)))</x:f>
        <x:v>Not Started</x:v>
      </x:c>
      <x:c r="H60" s="23" t="str">
        <x:f>IF($A60="","",INDEX('Master Plan'!$H$7:$H$247,MATCH($A60,'Master Plan'!$A$7:$A$247,0)))</x:f>
        <x:v>Due Soon</x:v>
      </x:c>
      <x:c r="I60" s="27" t="str">
        <x:f>IF($A60="","",INDEX('Master Plan'!$I$7:$I$247,MATCH($A60,'Master Plan'!$A$7:$A$247,0)))</x:f>
      </x:c>
      <x:c r="J60" s="27" t="str">
        <x:f>IF($A60="","",INDEX('Master Plan'!$J$7:$J$247,MATCH($A60,'Master Plan'!$A$7:$A$247,0)))</x:f>
      </x:c>
      <x:c r="K60" s="27" t="str">
        <x:f>IF($A60="","",INDEX('Master Plan'!$K$7:$K$247,MATCH($A60,'Master Plan'!$A$7:$A$247,0)))</x:f>
      </x:c>
    </x:row>
    <x:row r="61" ht="25" customHeight="1">
      <x:c r="A61" s="21" t="str">
        <x:f>IF(ROWS($A$8:A61)&gt;COUNT('Master Plan'!$P$7:$P$247),"",INDEX('Master Plan'!$A$7:$A$247,MATCH(ROWS($A$8:A61),'Master Plan'!$P$7:$P$247,0)))</x:f>
        <x:v>​4.13</x:v>
      </x:c>
      <x:c r="B61" s="18" t="str">
        <x:f>IF($A61="","",INDEX('Master Plan'!$B$7:$B$247,MATCH($A61,'Master Plan'!$A$7:$A$247,0)))</x:f>
        <x:v>Technical Discovery</x:v>
      </x:c>
      <x:c r="C61" s="18" t="str">
        <x:f>IF($A61="","",INDEX('Master Plan'!$C$7:$C$247,MATCH($A61,'Master Plan'!$A$7:$A$247,0)))</x:f>
        <x:v>Confirm mobile integration requirements</x:v>
      </x:c>
      <x:c r="D61" s="18" t="str">
        <x:f>IF($A61="","",INDEX('Master Plan'!$D$7:$D$247,MATCH($A61,'Master Plan'!$A$7:$A$247,0)))</x:f>
        <x:v>Fiserv</x:v>
      </x:c>
      <x:c r="E61" s="23" t="n">
        <x:f>IF($A61="","",INDEX('Master Plan'!$E$7:$E$247,MATCH($A61,'Master Plan'!$A$7:$A$247,0)))</x:f>
        <x:v>3</x:v>
      </x:c>
      <x:c r="F61" s="23" t="n">
        <x:f>IF($A61="","",INDEX('Master Plan'!$F$7:$F$247,MATCH($A61,'Master Plan'!$A$7:$A$247,0)))</x:f>
        <x:v>3</x:v>
      </x:c>
      <x:c r="G61" s="23" t="str">
        <x:f>IF($A61="","",INDEX('Master Plan'!$G$7:$G$247,MATCH($A61,'Master Plan'!$A$7:$A$247,0)))</x:f>
        <x:v>Not Started</x:v>
      </x:c>
      <x:c r="H61" s="23" t="str">
        <x:f>IF($A61="","",INDEX('Master Plan'!$H$7:$H$247,MATCH($A61,'Master Plan'!$A$7:$A$247,0)))</x:f>
        <x:v>Due Soon</x:v>
      </x:c>
      <x:c r="I61" s="27" t="str">
        <x:f>IF($A61="","",INDEX('Master Plan'!$I$7:$I$247,MATCH($A61,'Master Plan'!$A$7:$A$247,0)))</x:f>
      </x:c>
      <x:c r="J61" s="27" t="str">
        <x:f>IF($A61="","",INDEX('Master Plan'!$J$7:$J$247,MATCH($A61,'Master Plan'!$A$7:$A$247,0)))</x:f>
      </x:c>
      <x:c r="K61" s="27" t="str">
        <x:f>IF($A61="","",INDEX('Master Plan'!$K$7:$K$247,MATCH($A61,'Master Plan'!$A$7:$A$247,0)))</x:f>
      </x:c>
    </x:row>
    <x:row r="62" ht="25" customHeight="1">
      <x:c r="A62" s="21" t="str">
        <x:f>IF(ROWS($A$8:A62)&gt;COUNT('Master Plan'!$P$7:$P$247),"",INDEX('Master Plan'!$A$7:$A$247,MATCH(ROWS($A$8:A62),'Master Plan'!$P$7:$P$247,0)))</x:f>
        <x:v>​4.14</x:v>
      </x:c>
      <x:c r="B62" s="18" t="str">
        <x:f>IF($A62="","",INDEX('Master Plan'!$B$7:$B$247,MATCH($A62,'Master Plan'!$A$7:$A$247,0)))</x:f>
        <x:v>Technical Discovery</x:v>
      </x:c>
      <x:c r="C62" s="18" t="str">
        <x:f>IF($A62="","",INDEX('Master Plan'!$C$7:$C$247,MATCH($A62,'Master Plan'!$A$7:$A$247,0)))</x:f>
        <x:v>Confirm browser requirements</x:v>
      </x:c>
      <x:c r="D62" s="18" t="str">
        <x:f>IF($A62="","",INDEX('Master Plan'!$D$7:$D$247,MATCH($A62,'Master Plan'!$A$7:$A$247,0)))</x:f>
        <x:v>Tech</x:v>
      </x:c>
      <x:c r="E62" s="23" t="n">
        <x:f>IF($A62="","",INDEX('Master Plan'!$E$7:$E$247,MATCH($A62,'Master Plan'!$A$7:$A$247,0)))</x:f>
        <x:v>3</x:v>
      </x:c>
      <x:c r="F62" s="23" t="n">
        <x:f>IF($A62="","",INDEX('Master Plan'!$F$7:$F$247,MATCH($A62,'Master Plan'!$A$7:$A$247,0)))</x:f>
        <x:v>3</x:v>
      </x:c>
      <x:c r="G62" s="23" t="str">
        <x:f>IF($A62="","",INDEX('Master Plan'!$G$7:$G$247,MATCH($A62,'Master Plan'!$A$7:$A$247,0)))</x:f>
        <x:v>Not Started</x:v>
      </x:c>
      <x:c r="H62" s="23" t="str">
        <x:f>IF($A62="","",INDEX('Master Plan'!$H$7:$H$247,MATCH($A62,'Master Plan'!$A$7:$A$247,0)))</x:f>
        <x:v>Due Soon</x:v>
      </x:c>
      <x:c r="I62" s="27" t="str">
        <x:f>IF($A62="","",INDEX('Master Plan'!$I$7:$I$247,MATCH($A62,'Master Plan'!$A$7:$A$247,0)))</x:f>
      </x:c>
      <x:c r="J62" s="27" t="str">
        <x:f>IF($A62="","",INDEX('Master Plan'!$J$7:$J$247,MATCH($A62,'Master Plan'!$A$7:$A$247,0)))</x:f>
      </x:c>
      <x:c r="K62" s="27" t="str">
        <x:f>IF($A62="","",INDEX('Master Plan'!$K$7:$K$247,MATCH($A62,'Master Plan'!$A$7:$A$247,0)))</x:f>
        <x:v>QA</x:v>
      </x:c>
    </x:row>
    <x:row r="63" ht="25" customHeight="1">
      <x:c r="A63" s="21" t="str">
        <x:f>IF(ROWS($A$8:A63)&gt;COUNT('Master Plan'!$P$7:$P$247),"",INDEX('Master Plan'!$A$7:$A$247,MATCH(ROWS($A$8:A63),'Master Plan'!$P$7:$P$247,0)))</x:f>
        <x:v>​5.1</x:v>
      </x:c>
      <x:c r="B63" s="18" t="str">
        <x:f>IF($A63="","",INDEX('Master Plan'!$B$7:$B$247,MATCH($A63,'Master Plan'!$A$7:$A$247,0)))</x:f>
        <x:v>UX / Experience Design</x:v>
      </x:c>
      <x:c r="C63" s="18" t="str">
        <x:f>IF($A63="","",INDEX('Master Plan'!$C$7:$C$247,MATCH($A63,'Master Plan'!$A$7:$A$247,0)))</x:f>
        <x:v>Current-state journey review</x:v>
      </x:c>
      <x:c r="D63" s="18" t="str">
        <x:f>IF($A63="","",INDEX('Master Plan'!$D$7:$D$247,MATCH($A63,'Master Plan'!$A$7:$A$247,0)))</x:f>
        <x:v>UX</x:v>
      </x:c>
      <x:c r="E63" s="23" t="n">
        <x:f>IF($A63="","",INDEX('Master Plan'!$E$7:$E$247,MATCH($A63,'Master Plan'!$A$7:$A$247,0)))</x:f>
        <x:v>2</x:v>
      </x:c>
      <x:c r="F63" s="23" t="n">
        <x:f>IF($A63="","",INDEX('Master Plan'!$F$7:$F$247,MATCH($A63,'Master Plan'!$A$7:$A$247,0)))</x:f>
        <x:v>2</x:v>
      </x:c>
      <x:c r="G63" s="23" t="str">
        <x:f>IF($A63="","",INDEX('Master Plan'!$G$7:$G$247,MATCH($A63,'Master Plan'!$A$7:$A$247,0)))</x:f>
        <x:v>Not Started</x:v>
      </x:c>
      <x:c r="H63" s="23" t="str">
        <x:f>IF($A63="","",INDEX('Master Plan'!$H$7:$H$247,MATCH($A63,'Master Plan'!$A$7:$A$247,0)))</x:f>
        <x:v>Due Soon</x:v>
      </x:c>
      <x:c r="I63" s="27" t="str">
        <x:f>IF($A63="","",INDEX('Master Plan'!$I$7:$I$247,MATCH($A63,'Master Plan'!$A$7:$A$247,0)))</x:f>
      </x:c>
      <x:c r="J63" s="27" t="str">
        <x:f>IF($A63="","",INDEX('Master Plan'!$J$7:$J$247,MATCH($A63,'Master Plan'!$A$7:$A$247,0)))</x:f>
      </x:c>
      <x:c r="K63" s="27" t="str">
        <x:f>IF($A63="","",INDEX('Master Plan'!$K$7:$K$247,MATCH($A63,'Master Plan'!$A$7:$A$247,0)))</x:f>
        <x:v>Product</x:v>
      </x:c>
    </x:row>
    <x:row r="64" ht="25" customHeight="1">
      <x:c r="A64" s="21" t="str">
        <x:f>IF(ROWS($A$8:A64)&gt;COUNT('Master Plan'!$P$7:$P$247),"",INDEX('Master Plan'!$A$7:$A$247,MATCH(ROWS($A$8:A64),'Master Plan'!$P$7:$P$247,0)))</x:f>
        <x:v>​5.2</x:v>
      </x:c>
      <x:c r="B64" s="18" t="str">
        <x:f>IF($A64="","",INDEX('Master Plan'!$B$7:$B$247,MATCH($A64,'Master Plan'!$A$7:$A$247,0)))</x:f>
        <x:v>UX / Experience Design</x:v>
      </x:c>
      <x:c r="C64" s="18" t="str">
        <x:f>IF($A64="","",INDEX('Master Plan'!$C$7:$C$247,MATCH($A64,'Master Plan'!$A$7:$A$247,0)))</x:f>
        <x:v>Determine OLB navigation placement</x:v>
      </x:c>
      <x:c r="D64" s="18" t="str">
        <x:f>IF($A64="","",INDEX('Master Plan'!$D$7:$D$247,MATCH($A64,'Master Plan'!$A$7:$A$247,0)))</x:f>
        <x:v>UX</x:v>
      </x:c>
      <x:c r="E64" s="23" t="n">
        <x:f>IF($A64="","",INDEX('Master Plan'!$E$7:$E$247,MATCH($A64,'Master Plan'!$A$7:$A$247,0)))</x:f>
        <x:v>2</x:v>
      </x:c>
      <x:c r="F64" s="23" t="n">
        <x:f>IF($A64="","",INDEX('Master Plan'!$F$7:$F$247,MATCH($A64,'Master Plan'!$A$7:$A$247,0)))</x:f>
        <x:v>2</x:v>
      </x:c>
      <x:c r="G64" s="23" t="str">
        <x:f>IF($A64="","",INDEX('Master Plan'!$G$7:$G$247,MATCH($A64,'Master Plan'!$A$7:$A$247,0)))</x:f>
        <x:v>Not Started</x:v>
      </x:c>
      <x:c r="H64" s="23" t="str">
        <x:f>IF($A64="","",INDEX('Master Plan'!$H$7:$H$247,MATCH($A64,'Master Plan'!$A$7:$A$247,0)))</x:f>
        <x:v>Due Soon</x:v>
      </x:c>
      <x:c r="I64" s="27" t="str">
        <x:f>IF($A64="","",INDEX('Master Plan'!$I$7:$I$247,MATCH($A64,'Master Plan'!$A$7:$A$247,0)))</x:f>
      </x:c>
      <x:c r="J64" s="27" t="str">
        <x:f>IF($A64="","",INDEX('Master Plan'!$J$7:$J$247,MATCH($A64,'Master Plan'!$A$7:$A$247,0)))</x:f>
      </x:c>
      <x:c r="K64" s="27" t="str">
        <x:f>IF($A64="","",INDEX('Master Plan'!$K$7:$K$247,MATCH($A64,'Master Plan'!$A$7:$A$247,0)))</x:f>
        <x:v>Product</x:v>
      </x:c>
    </x:row>
    <x:row r="65" ht="25" customHeight="1">
      <x:c r="A65" s="21" t="str">
        <x:f>IF(ROWS($A$8:A65)&gt;COUNT('Master Plan'!$P$7:$P$247),"",INDEX('Master Plan'!$A$7:$A$247,MATCH(ROWS($A$8:A65),'Master Plan'!$P$7:$P$247,0)))</x:f>
        <x:v>​5.3</x:v>
      </x:c>
      <x:c r="B65" s="18" t="str">
        <x:f>IF($A65="","",INDEX('Master Plan'!$B$7:$B$247,MATCH($A65,'Master Plan'!$A$7:$A$247,0)))</x:f>
        <x:v>UX / Experience Design</x:v>
      </x:c>
      <x:c r="C65" s="18" t="str">
        <x:f>IF($A65="","",INDEX('Master Plan'!$C$7:$C$247,MATCH($A65,'Master Plan'!$A$7:$A$247,0)))</x:f>
        <x:v>Determine mobile navigation placement</x:v>
      </x:c>
      <x:c r="D65" s="18" t="str">
        <x:f>IF($A65="","",INDEX('Master Plan'!$D$7:$D$247,MATCH($A65,'Master Plan'!$A$7:$A$247,0)))</x:f>
        <x:v>UX</x:v>
      </x:c>
      <x:c r="E65" s="23" t="n">
        <x:f>IF($A65="","",INDEX('Master Plan'!$E$7:$E$247,MATCH($A65,'Master Plan'!$A$7:$A$247,0)))</x:f>
        <x:v>2</x:v>
      </x:c>
      <x:c r="F65" s="23" t="n">
        <x:f>IF($A65="","",INDEX('Master Plan'!$F$7:$F$247,MATCH($A65,'Master Plan'!$A$7:$A$247,0)))</x:f>
        <x:v>2</x:v>
      </x:c>
      <x:c r="G65" s="23" t="str">
        <x:f>IF($A65="","",INDEX('Master Plan'!$G$7:$G$247,MATCH($A65,'Master Plan'!$A$7:$A$247,0)))</x:f>
        <x:v>Not Started</x:v>
      </x:c>
      <x:c r="H65" s="23" t="str">
        <x:f>IF($A65="","",INDEX('Master Plan'!$H$7:$H$247,MATCH($A65,'Master Plan'!$A$7:$A$247,0)))</x:f>
        <x:v>Due Soon</x:v>
      </x:c>
      <x:c r="I65" s="27" t="str">
        <x:f>IF($A65="","",INDEX('Master Plan'!$I$7:$I$247,MATCH($A65,'Master Plan'!$A$7:$A$247,0)))</x:f>
      </x:c>
      <x:c r="J65" s="27" t="str">
        <x:f>IF($A65="","",INDEX('Master Plan'!$J$7:$J$247,MATCH($A65,'Master Plan'!$A$7:$A$247,0)))</x:f>
      </x:c>
      <x:c r="K65" s="27" t="str">
        <x:f>IF($A65="","",INDEX('Master Plan'!$K$7:$K$247,MATCH($A65,'Master Plan'!$A$7:$A$247,0)))</x:f>
        <x:v>Product</x:v>
      </x:c>
    </x:row>
    <x:row r="66" ht="25" customHeight="1">
      <x:c r="A66" s="21" t="str">
        <x:f>IF(ROWS($A$8:A66)&gt;COUNT('Master Plan'!$P$7:$P$247),"",INDEX('Master Plan'!$A$7:$A$247,MATCH(ROWS($A$8:A66),'Master Plan'!$P$7:$P$247,0)))</x:f>
        <x:v>​5.4</x:v>
      </x:c>
      <x:c r="B66" s="18" t="str">
        <x:f>IF($A66="","",INDEX('Master Plan'!$B$7:$B$247,MATCH($A66,'Master Plan'!$A$7:$A$247,0)))</x:f>
        <x:v>UX / Experience Design</x:v>
      </x:c>
      <x:c r="C66" s="18" t="str">
        <x:f>IF($A66="","",INDEX('Master Plan'!$C$7:$C$247,MATCH($A66,'Master Plan'!$A$7:$A$247,0)))</x:f>
        <x:v>Define promotional entry points</x:v>
      </x:c>
      <x:c r="D66" s="18" t="str">
        <x:f>IF($A66="","",INDEX('Master Plan'!$D$7:$D$247,MATCH($A66,'Master Plan'!$A$7:$A$247,0)))</x:f>
        <x:v>UX</x:v>
      </x:c>
      <x:c r="E66" s="23" t="n">
        <x:f>IF($A66="","",INDEX('Master Plan'!$E$7:$E$247,MATCH($A66,'Master Plan'!$A$7:$A$247,0)))</x:f>
        <x:v>3</x:v>
      </x:c>
      <x:c r="F66" s="23" t="n">
        <x:f>IF($A66="","",INDEX('Master Plan'!$F$7:$F$247,MATCH($A66,'Master Plan'!$A$7:$A$247,0)))</x:f>
        <x:v>3</x:v>
      </x:c>
      <x:c r="G66" s="23" t="str">
        <x:f>IF($A66="","",INDEX('Master Plan'!$G$7:$G$247,MATCH($A66,'Master Plan'!$A$7:$A$247,0)))</x:f>
        <x:v>Not Started</x:v>
      </x:c>
      <x:c r="H66" s="23" t="str">
        <x:f>IF($A66="","",INDEX('Master Plan'!$H$7:$H$247,MATCH($A66,'Master Plan'!$A$7:$A$247,0)))</x:f>
        <x:v>Due Soon</x:v>
      </x:c>
      <x:c r="I66" s="27" t="str">
        <x:f>IF($A66="","",INDEX('Master Plan'!$I$7:$I$247,MATCH($A66,'Master Plan'!$A$7:$A$247,0)))</x:f>
      </x:c>
      <x:c r="J66" s="27" t="str">
        <x:f>IF($A66="","",INDEX('Master Plan'!$J$7:$J$247,MATCH($A66,'Master Plan'!$A$7:$A$247,0)))</x:f>
      </x:c>
      <x:c r="K66" s="27" t="str">
        <x:f>IF($A66="","",INDEX('Master Plan'!$K$7:$K$247,MATCH($A66,'Master Plan'!$A$7:$A$247,0)))</x:f>
        <x:v>Marketing</x:v>
      </x:c>
    </x:row>
    <x:row r="67" ht="25" customHeight="1">
      <x:c r="A67" s="21" t="str">
        <x:f>IF(ROWS($A$8:A67)&gt;COUNT('Master Plan'!$P$7:$P$247),"",INDEX('Master Plan'!$A$7:$A$247,MATCH(ROWS($A$8:A67),'Master Plan'!$P$7:$P$247,0)))</x:f>
        <x:v>​5.5</x:v>
      </x:c>
      <x:c r="B67" s="18" t="str">
        <x:f>IF($A67="","",INDEX('Master Plan'!$B$7:$B$247,MATCH($A67,'Master Plan'!$A$7:$A$247,0)))</x:f>
        <x:v>UX / Experience Design</x:v>
      </x:c>
      <x:c r="C67" s="18" t="str">
        <x:f>IF($A67="","",INDEX('Master Plan'!$C$7:$C$247,MATCH($A67,'Master Plan'!$A$7:$A$247,0)))</x:f>
        <x:v>Define enrollment messaging</x:v>
      </x:c>
      <x:c r="D67" s="18" t="str">
        <x:f>IF($A67="","",INDEX('Master Plan'!$D$7:$D$247,MATCH($A67,'Master Plan'!$A$7:$A$247,0)))</x:f>
        <x:v>UX</x:v>
      </x:c>
      <x:c r="E67" s="23" t="n">
        <x:f>IF($A67="","",INDEX('Master Plan'!$E$7:$E$247,MATCH($A67,'Master Plan'!$A$7:$A$247,0)))</x:f>
        <x:v>3</x:v>
      </x:c>
      <x:c r="F67" s="23" t="n">
        <x:f>IF($A67="","",INDEX('Master Plan'!$F$7:$F$247,MATCH($A67,'Master Plan'!$A$7:$A$247,0)))</x:f>
        <x:v>3</x:v>
      </x:c>
      <x:c r="G67" s="23" t="str">
        <x:f>IF($A67="","",INDEX('Master Plan'!$G$7:$G$247,MATCH($A67,'Master Plan'!$A$7:$A$247,0)))</x:f>
        <x:v>Not Started</x:v>
      </x:c>
      <x:c r="H67" s="23" t="str">
        <x:f>IF($A67="","",INDEX('Master Plan'!$H$7:$H$247,MATCH($A67,'Master Plan'!$A$7:$A$247,0)))</x:f>
        <x:v>Due Soon</x:v>
      </x:c>
      <x:c r="I67" s="27" t="str">
        <x:f>IF($A67="","",INDEX('Master Plan'!$I$7:$I$247,MATCH($A67,'Master Plan'!$A$7:$A$247,0)))</x:f>
      </x:c>
      <x:c r="J67" s="27" t="str">
        <x:f>IF($A67="","",INDEX('Master Plan'!$J$7:$J$247,MATCH($A67,'Master Plan'!$A$7:$A$247,0)))</x:f>
      </x:c>
      <x:c r="K67" s="27" t="str">
        <x:f>IF($A67="","",INDEX('Master Plan'!$K$7:$K$247,MATCH($A67,'Master Plan'!$A$7:$A$247,0)))</x:f>
        <x:v>Content</x:v>
      </x:c>
    </x:row>
    <x:row r="68" ht="25" customHeight="1">
      <x:c r="A68" s="21" t="str">
        <x:f>IF(ROWS($A$8:A68)&gt;COUNT('Master Plan'!$P$7:$P$247),"",INDEX('Master Plan'!$A$7:$A$247,MATCH(ROWS($A$8:A68),'Master Plan'!$P$7:$P$247,0)))</x:f>
        <x:v>​5.6</x:v>
      </x:c>
      <x:c r="B68" s="18" t="str">
        <x:f>IF($A68="","",INDEX('Master Plan'!$B$7:$B$247,MATCH($A68,'Master Plan'!$A$7:$A$247,0)))</x:f>
        <x:v>UX / Experience Design</x:v>
      </x:c>
      <x:c r="C68" s="18" t="str">
        <x:f>IF($A68="","",INDEX('Master Plan'!$C$7:$C$247,MATCH($A68,'Master Plan'!$A$7:$A$247,0)))</x:f>
        <x:v>Define consent/disclosure placement</x:v>
      </x:c>
      <x:c r="D68" s="18" t="str">
        <x:f>IF($A68="","",INDEX('Master Plan'!$D$7:$D$247,MATCH($A68,'Master Plan'!$A$7:$A$247,0)))</x:f>
        <x:v>UX</x:v>
      </x:c>
      <x:c r="E68" s="23" t="n">
        <x:f>IF($A68="","",INDEX('Master Plan'!$E$7:$E$247,MATCH($A68,'Master Plan'!$A$7:$A$247,0)))</x:f>
        <x:v>3</x:v>
      </x:c>
      <x:c r="F68" s="23" t="n">
        <x:f>IF($A68="","",INDEX('Master Plan'!$F$7:$F$247,MATCH($A68,'Master Plan'!$A$7:$A$247,0)))</x:f>
        <x:v>3</x:v>
      </x:c>
      <x:c r="G68" s="23" t="str">
        <x:f>IF($A68="","",INDEX('Master Plan'!$G$7:$G$247,MATCH($A68,'Master Plan'!$A$7:$A$247,0)))</x:f>
        <x:v>Not Started</x:v>
      </x:c>
      <x:c r="H68" s="23" t="str">
        <x:f>IF($A68="","",INDEX('Master Plan'!$H$7:$H$247,MATCH($A68,'Master Plan'!$A$7:$A$247,0)))</x:f>
        <x:v>Due Soon</x:v>
      </x:c>
      <x:c r="I68" s="27" t="str">
        <x:f>IF($A68="","",INDEX('Master Plan'!$I$7:$I$247,MATCH($A68,'Master Plan'!$A$7:$A$247,0)))</x:f>
      </x:c>
      <x:c r="J68" s="27" t="str">
        <x:f>IF($A68="","",INDEX('Master Plan'!$J$7:$J$247,MATCH($A68,'Master Plan'!$A$7:$A$247,0)))</x:f>
      </x:c>
      <x:c r="K68" s="27" t="str">
        <x:f>IF($A68="","",INDEX('Master Plan'!$K$7:$K$247,MATCH($A68,'Master Plan'!$A$7:$A$247,0)))</x:f>
        <x:v>Compliance</x:v>
      </x:c>
    </x:row>
    <x:row r="69" ht="25" customHeight="1">
      <x:c r="A69" s="21" t="str">
        <x:f>IF(ROWS($A$8:A69)&gt;COUNT('Master Plan'!$P$7:$P$247),"",INDEX('Master Plan'!$A$7:$A$247,MATCH(ROWS($A$8:A69),'Master Plan'!$P$7:$P$247,0)))</x:f>
        <x:v>​5.7</x:v>
      </x:c>
      <x:c r="B69" s="18" t="str">
        <x:f>IF($A69="","",INDEX('Master Plan'!$B$7:$B$247,MATCH($A69,'Master Plan'!$A$7:$A$247,0)))</x:f>
        <x:v>UX / Experience Design</x:v>
      </x:c>
      <x:c r="C69" s="18" t="str">
        <x:f>IF($A69="","",INDEX('Master Plan'!$C$7:$C$247,MATCH($A69,'Master Plan'!$A$7:$A$247,0)))</x:f>
        <x:v>Define loading/error states</x:v>
      </x:c>
      <x:c r="D69" s="18" t="str">
        <x:f>IF($A69="","",INDEX('Master Plan'!$D$7:$D$247,MATCH($A69,'Master Plan'!$A$7:$A$247,0)))</x:f>
        <x:v>UX</x:v>
      </x:c>
      <x:c r="E69" s="23" t="n">
        <x:f>IF($A69="","",INDEX('Master Plan'!$E$7:$E$247,MATCH($A69,'Master Plan'!$A$7:$A$247,0)))</x:f>
        <x:v>3</x:v>
      </x:c>
      <x:c r="F69" s="23" t="n">
        <x:f>IF($A69="","",INDEX('Master Plan'!$F$7:$F$247,MATCH($A69,'Master Plan'!$A$7:$A$247,0)))</x:f>
        <x:v>3</x:v>
      </x:c>
      <x:c r="G69" s="23" t="str">
        <x:f>IF($A69="","",INDEX('Master Plan'!$G$7:$G$247,MATCH($A69,'Master Plan'!$A$7:$A$247,0)))</x:f>
        <x:v>Not Started</x:v>
      </x:c>
      <x:c r="H69" s="23" t="str">
        <x:f>IF($A69="","",INDEX('Master Plan'!$H$7:$H$247,MATCH($A69,'Master Plan'!$A$7:$A$247,0)))</x:f>
        <x:v>Due Soon</x:v>
      </x:c>
      <x:c r="I69" s="27" t="str">
        <x:f>IF($A69="","",INDEX('Master Plan'!$I$7:$I$247,MATCH($A69,'Master Plan'!$A$7:$A$247,0)))</x:f>
      </x:c>
      <x:c r="J69" s="27" t="str">
        <x:f>IF($A69="","",INDEX('Master Plan'!$J$7:$J$247,MATCH($A69,'Master Plan'!$A$7:$A$247,0)))</x:f>
      </x:c>
      <x:c r="K69" s="27" t="str">
        <x:f>IF($A69="","",INDEX('Master Plan'!$K$7:$K$247,MATCH($A69,'Master Plan'!$A$7:$A$247,0)))</x:f>
      </x:c>
    </x:row>
    <x:row r="70" ht="25" customHeight="1">
      <x:c r="A70" s="21" t="str">
        <x:f>IF(ROWS($A$8:A70)&gt;COUNT('Master Plan'!$P$7:$P$247),"",INDEX('Master Plan'!$A$7:$A$247,MATCH(ROWS($A$8:A70),'Master Plan'!$P$7:$P$247,0)))</x:f>
        <x:v>​5.8</x:v>
      </x:c>
      <x:c r="B70" s="18" t="str">
        <x:f>IF($A70="","",INDEX('Master Plan'!$B$7:$B$247,MATCH($A70,'Master Plan'!$A$7:$A$247,0)))</x:f>
        <x:v>UX / Experience Design</x:v>
      </x:c>
      <x:c r="C70" s="18" t="str">
        <x:f>IF($A70="","",INDEX('Master Plan'!$C$7:$C$247,MATCH($A70,'Master Plan'!$A$7:$A$247,0)))</x:f>
        <x:v>Define support/error escalation experience</x:v>
      </x:c>
      <x:c r="D70" s="18" t="str">
        <x:f>IF($A70="","",INDEX('Master Plan'!$D$7:$D$247,MATCH($A70,'Master Plan'!$A$7:$A$247,0)))</x:f>
        <x:v>UX</x:v>
      </x:c>
      <x:c r="E70" s="23" t="n">
        <x:f>IF($A70="","",INDEX('Master Plan'!$E$7:$E$247,MATCH($A70,'Master Plan'!$A$7:$A$247,0)))</x:f>
        <x:v>3</x:v>
      </x:c>
      <x:c r="F70" s="23" t="n">
        <x:f>IF($A70="","",INDEX('Master Plan'!$F$7:$F$247,MATCH($A70,'Master Plan'!$A$7:$A$247,0)))</x:f>
        <x:v>3</x:v>
      </x:c>
      <x:c r="G70" s="23" t="str">
        <x:f>IF($A70="","",INDEX('Master Plan'!$G$7:$G$247,MATCH($A70,'Master Plan'!$A$7:$A$247,0)))</x:f>
        <x:v>Not Started</x:v>
      </x:c>
      <x:c r="H70" s="23" t="str">
        <x:f>IF($A70="","",INDEX('Master Plan'!$H$7:$H$247,MATCH($A70,'Master Plan'!$A$7:$A$247,0)))</x:f>
        <x:v>Due Soon</x:v>
      </x:c>
      <x:c r="I70" s="27" t="str">
        <x:f>IF($A70="","",INDEX('Master Plan'!$I$7:$I$247,MATCH($A70,'Master Plan'!$A$7:$A$247,0)))</x:f>
      </x:c>
      <x:c r="J70" s="27" t="str">
        <x:f>IF($A70="","",INDEX('Master Plan'!$J$7:$J$247,MATCH($A70,'Master Plan'!$A$7:$A$247,0)))</x:f>
      </x:c>
      <x:c r="K70" s="27" t="str">
        <x:f>IF($A70="","",INDEX('Master Plan'!$K$7:$K$247,MATCH($A70,'Master Plan'!$A$7:$A$247,0)))</x:f>
        <x:v>Ops</x:v>
      </x:c>
    </x:row>
    <x:row r="71" ht="25" customHeight="1">
      <x:c r="A71" s="21" t="str">
        <x:f>IF(ROWS($A$8:A71)&gt;COUNT('Master Plan'!$P$7:$P$247),"",INDEX('Master Plan'!$A$7:$A$247,MATCH(ROWS($A$8:A71),'Master Plan'!$P$7:$P$247,0)))</x:f>
        <x:v>​6.1</x:v>
      </x:c>
      <x:c r="B71" s="18" t="str">
        <x:f>IF($A71="","",INDEX('Master Plan'!$B$7:$B$247,MATCH($A71,'Master Plan'!$A$7:$A$247,0)))</x:f>
        <x:v>Legal / Compliance / Privacy</x:v>
      </x:c>
      <x:c r="C71" s="18" t="str">
        <x:f>IF($A71="","",INDEX('Master Plan'!$C$7:$C$247,MATCH($A71,'Master Plan'!$A$7:$A$247,0)))</x:f>
        <x:v>Provide solution overview</x:v>
      </x:c>
      <x:c r="D71" s="18" t="str">
        <x:f>IF($A71="","",INDEX('Master Plan'!$D$7:$D$247,MATCH($A71,'Master Plan'!$A$7:$A$247,0)))</x:f>
        <x:v>Product</x:v>
      </x:c>
      <x:c r="E71" s="23" t="n">
        <x:f>IF($A71="","",INDEX('Master Plan'!$E$7:$E$247,MATCH($A71,'Master Plan'!$A$7:$A$247,0)))</x:f>
        <x:v>2</x:v>
      </x:c>
      <x:c r="F71" s="23" t="n">
        <x:f>IF($A71="","",INDEX('Master Plan'!$F$7:$F$247,MATCH($A71,'Master Plan'!$A$7:$A$247,0)))</x:f>
        <x:v>2</x:v>
      </x:c>
      <x:c r="G71" s="23" t="str">
        <x:f>IF($A71="","",INDEX('Master Plan'!$G$7:$G$247,MATCH($A71,'Master Plan'!$A$7:$A$247,0)))</x:f>
        <x:v>Not Started</x:v>
      </x:c>
      <x:c r="H71" s="23" t="str">
        <x:f>IF($A71="","",INDEX('Master Plan'!$H$7:$H$247,MATCH($A71,'Master Plan'!$A$7:$A$247,0)))</x:f>
        <x:v>Due Soon</x:v>
      </x:c>
      <x:c r="I71" s="27" t="str">
        <x:f>IF($A71="","",INDEX('Master Plan'!$I$7:$I$247,MATCH($A71,'Master Plan'!$A$7:$A$247,0)))</x:f>
      </x:c>
      <x:c r="J71" s="27" t="str">
        <x:f>IF($A71="","",INDEX('Master Plan'!$J$7:$J$247,MATCH($A71,'Master Plan'!$A$7:$A$247,0)))</x:f>
      </x:c>
      <x:c r="K71" s="27" t="str">
        <x:f>IF($A71="","",INDEX('Master Plan'!$K$7:$K$247,MATCH($A71,'Master Plan'!$A$7:$A$247,0)))</x:f>
      </x:c>
    </x:row>
    <x:row r="72" ht="25" customHeight="1">
      <x:c r="A72" s="21" t="str">
        <x:f>IF(ROWS($A$8:A72)&gt;COUNT('Master Plan'!$P$7:$P$247),"",INDEX('Master Plan'!$A$7:$A$247,MATCH(ROWS($A$8:A72),'Master Plan'!$P$7:$P$247,0)))</x:f>
        <x:v>​6.3</x:v>
      </x:c>
      <x:c r="B72" s="18" t="str">
        <x:f>IF($A72="","",INDEX('Master Plan'!$B$7:$B$247,MATCH($A72,'Master Plan'!$A$7:$A$247,0)))</x:f>
        <x:v>Legal / Compliance / Privacy</x:v>
      </x:c>
      <x:c r="C72" s="18" t="str">
        <x:f>IF($A72="","",INDEX('Master Plan'!$C$7:$C$247,MATCH($A72,'Master Plan'!$A$7:$A$247,0)))</x:f>
        <x:v>Review customer consent</x:v>
      </x:c>
      <x:c r="D72" s="18" t="str">
        <x:f>IF($A72="","",INDEX('Master Plan'!$D$7:$D$247,MATCH($A72,'Master Plan'!$A$7:$A$247,0)))</x:f>
        <x:v>Compliance</x:v>
      </x:c>
      <x:c r="E72" s="23" t="n">
        <x:f>IF($A72="","",INDEX('Master Plan'!$E$7:$E$247,MATCH($A72,'Master Plan'!$A$7:$A$247,0)))</x:f>
        <x:v>3</x:v>
      </x:c>
      <x:c r="F72" s="23" t="n">
        <x:f>IF($A72="","",INDEX('Master Plan'!$F$7:$F$247,MATCH($A72,'Master Plan'!$A$7:$A$247,0)))</x:f>
        <x:v>3</x:v>
      </x:c>
      <x:c r="G72" s="23" t="str">
        <x:f>IF($A72="","",INDEX('Master Plan'!$G$7:$G$247,MATCH($A72,'Master Plan'!$A$7:$A$247,0)))</x:f>
        <x:v>Not Started</x:v>
      </x:c>
      <x:c r="H72" s="23" t="str">
        <x:f>IF($A72="","",INDEX('Master Plan'!$H$7:$H$247,MATCH($A72,'Master Plan'!$A$7:$A$247,0)))</x:f>
        <x:v>Due Soon</x:v>
      </x:c>
      <x:c r="I72" s="27" t="str">
        <x:f>IF($A72="","",INDEX('Master Plan'!$I$7:$I$247,MATCH($A72,'Master Plan'!$A$7:$A$247,0)))</x:f>
      </x:c>
      <x:c r="J72" s="27" t="str">
        <x:f>IF($A72="","",INDEX('Master Plan'!$J$7:$J$247,MATCH($A72,'Master Plan'!$A$7:$A$247,0)))</x:f>
      </x:c>
      <x:c r="K72" s="27" t="str">
        <x:f>IF($A72="","",INDEX('Master Plan'!$K$7:$K$247,MATCH($A72,'Master Plan'!$A$7:$A$247,0)))</x:f>
      </x:c>
    </x:row>
    <x:row r="73" ht="25" customHeight="1">
      <x:c r="A73" s="21" t="str">
        <x:f>IF(ROWS($A$8:A73)&gt;COUNT('Master Plan'!$P$7:$P$247),"",INDEX('Master Plan'!$A$7:$A$247,MATCH(ROWS($A$8:A73),'Master Plan'!$P$7:$P$247,0)))</x:f>
        <x:v>​6.4</x:v>
      </x:c>
      <x:c r="B73" s="18" t="str">
        <x:f>IF($A73="","",INDEX('Master Plan'!$B$7:$B$247,MATCH($A73,'Master Plan'!$A$7:$A$247,0)))</x:f>
        <x:v>Legal / Compliance / Privacy</x:v>
      </x:c>
      <x:c r="C73" s="18" t="str">
        <x:f>IF($A73="","",INDEX('Master Plan'!$C$7:$C$247,MATCH($A73,'Master Plan'!$A$7:$A$247,0)))</x:f>
        <x:v>Review disclosures</x:v>
      </x:c>
      <x:c r="D73" s="18" t="str">
        <x:f>IF($A73="","",INDEX('Master Plan'!$D$7:$D$247,MATCH($A73,'Master Plan'!$A$7:$A$247,0)))</x:f>
        <x:v>Compliance</x:v>
      </x:c>
      <x:c r="E73" s="23" t="n">
        <x:f>IF($A73="","",INDEX('Master Plan'!$E$7:$E$247,MATCH($A73,'Master Plan'!$A$7:$A$247,0)))</x:f>
        <x:v>3</x:v>
      </x:c>
      <x:c r="F73" s="23" t="n">
        <x:f>IF($A73="","",INDEX('Master Plan'!$F$7:$F$247,MATCH($A73,'Master Plan'!$A$7:$A$247,0)))</x:f>
        <x:v>3</x:v>
      </x:c>
      <x:c r="G73" s="23" t="str">
        <x:f>IF($A73="","",INDEX('Master Plan'!$G$7:$G$247,MATCH($A73,'Master Plan'!$A$7:$A$247,0)))</x:f>
        <x:v>Not Started</x:v>
      </x:c>
      <x:c r="H73" s="23" t="str">
        <x:f>IF($A73="","",INDEX('Master Plan'!$H$7:$H$247,MATCH($A73,'Master Plan'!$A$7:$A$247,0)))</x:f>
        <x:v>Due Soon</x:v>
      </x:c>
      <x:c r="I73" s="27" t="str">
        <x:f>IF($A73="","",INDEX('Master Plan'!$I$7:$I$247,MATCH($A73,'Master Plan'!$A$7:$A$247,0)))</x:f>
      </x:c>
      <x:c r="J73" s="27" t="str">
        <x:f>IF($A73="","",INDEX('Master Plan'!$J$7:$J$247,MATCH($A73,'Master Plan'!$A$7:$A$247,0)))</x:f>
      </x:c>
      <x:c r="K73" s="27" t="str">
        <x:f>IF($A73="","",INDEX('Master Plan'!$K$7:$K$247,MATCH($A73,'Master Plan'!$A$7:$A$247,0)))</x:f>
      </x:c>
    </x:row>
    <x:row r="74" ht="25" customHeight="1">
      <x:c r="A74" s="21" t="str">
        <x:f>IF(ROWS($A$8:A74)&gt;COUNT('Master Plan'!$P$7:$P$247),"",INDEX('Master Plan'!$A$7:$A$247,MATCH(ROWS($A$8:A74),'Master Plan'!$P$7:$P$247,0)))</x:f>
        <x:v>​6.5</x:v>
      </x:c>
      <x:c r="B74" s="18" t="str">
        <x:f>IF($A74="","",INDEX('Master Plan'!$B$7:$B$247,MATCH($A74,'Master Plan'!$A$7:$A$247,0)))</x:f>
        <x:v>Legal / Compliance / Privacy</x:v>
      </x:c>
      <x:c r="C74" s="18" t="str">
        <x:f>IF($A74="","",INDEX('Master Plan'!$C$7:$C$247,MATCH($A74,'Master Plan'!$A$7:$A$247,0)))</x:f>
        <x:v>Review FCRA implications</x:v>
      </x:c>
      <x:c r="D74" s="18" t="str">
        <x:f>IF($A74="","",INDEX('Master Plan'!$D$7:$D$247,MATCH($A74,'Master Plan'!$A$7:$A$247,0)))</x:f>
        <x:v>Compliance</x:v>
      </x:c>
      <x:c r="E74" s="23" t="n">
        <x:f>IF($A74="","",INDEX('Master Plan'!$E$7:$E$247,MATCH($A74,'Master Plan'!$A$7:$A$247,0)))</x:f>
        <x:v>3</x:v>
      </x:c>
      <x:c r="F74" s="23" t="n">
        <x:f>IF($A74="","",INDEX('Master Plan'!$F$7:$F$247,MATCH($A74,'Master Plan'!$A$7:$A$247,0)))</x:f>
        <x:v>3</x:v>
      </x:c>
      <x:c r="G74" s="23" t="str">
        <x:f>IF($A74="","",INDEX('Master Plan'!$G$7:$G$247,MATCH($A74,'Master Plan'!$A$7:$A$247,0)))</x:f>
        <x:v>Not Started</x:v>
      </x:c>
      <x:c r="H74" s="23" t="str">
        <x:f>IF($A74="","",INDEX('Master Plan'!$H$7:$H$247,MATCH($A74,'Master Plan'!$A$7:$A$247,0)))</x:f>
        <x:v>Due Soon</x:v>
      </x:c>
      <x:c r="I74" s="27" t="str">
        <x:f>IF($A74="","",INDEX('Master Plan'!$I$7:$I$247,MATCH($A74,'Master Plan'!$A$7:$A$247,0)))</x:f>
      </x:c>
      <x:c r="J74" s="27" t="str">
        <x:f>IF($A74="","",INDEX('Master Plan'!$J$7:$J$247,MATCH($A74,'Master Plan'!$A$7:$A$247,0)))</x:f>
      </x:c>
      <x:c r="K74" s="27" t="str">
        <x:f>IF($A74="","",INDEX('Master Plan'!$K$7:$K$247,MATCH($A74,'Master Plan'!$A$7:$A$247,0)))</x:f>
        <x:v>Legal</x:v>
      </x:c>
    </x:row>
    <x:row r="75" ht="25" customHeight="1">
      <x:c r="A75" s="21" t="str">
        <x:f>IF(ROWS($A$8:A75)&gt;COUNT('Master Plan'!$P$7:$P$247),"",INDEX('Master Plan'!$A$7:$A$247,MATCH(ROWS($A$8:A75),'Master Plan'!$P$7:$P$247,0)))</x:f>
        <x:v>​6.6</x:v>
      </x:c>
      <x:c r="B75" s="18" t="str">
        <x:f>IF($A75="","",INDEX('Master Plan'!$B$7:$B$247,MATCH($A75,'Master Plan'!$A$7:$A$247,0)))</x:f>
        <x:v>Legal / Compliance / Privacy</x:v>
      </x:c>
      <x:c r="C75" s="18" t="str">
        <x:f>IF($A75="","",INDEX('Master Plan'!$C$7:$C$247,MATCH($A75,'Master Plan'!$A$7:$A$247,0)))</x:f>
        <x:v>Review Reg V implications</x:v>
      </x:c>
      <x:c r="D75" s="18" t="str">
        <x:f>IF($A75="","",INDEX('Master Plan'!$D$7:$D$247,MATCH($A75,'Master Plan'!$A$7:$A$247,0)))</x:f>
        <x:v>Compliance</x:v>
      </x:c>
      <x:c r="E75" s="23" t="n">
        <x:f>IF($A75="","",INDEX('Master Plan'!$E$7:$E$247,MATCH($A75,'Master Plan'!$A$7:$A$247,0)))</x:f>
        <x:v>3</x:v>
      </x:c>
      <x:c r="F75" s="23" t="n">
        <x:f>IF($A75="","",INDEX('Master Plan'!$F$7:$F$247,MATCH($A75,'Master Plan'!$A$7:$A$247,0)))</x:f>
        <x:v>3</x:v>
      </x:c>
      <x:c r="G75" s="23" t="str">
        <x:f>IF($A75="","",INDEX('Master Plan'!$G$7:$G$247,MATCH($A75,'Master Plan'!$A$7:$A$247,0)))</x:f>
        <x:v>Not Started</x:v>
      </x:c>
      <x:c r="H75" s="23" t="str">
        <x:f>IF($A75="","",INDEX('Master Plan'!$H$7:$H$247,MATCH($A75,'Master Plan'!$A$7:$A$247,0)))</x:f>
        <x:v>Due Soon</x:v>
      </x:c>
      <x:c r="I75" s="27" t="str">
        <x:f>IF($A75="","",INDEX('Master Plan'!$I$7:$I$247,MATCH($A75,'Master Plan'!$A$7:$A$247,0)))</x:f>
      </x:c>
      <x:c r="J75" s="27" t="str">
        <x:f>IF($A75="","",INDEX('Master Plan'!$J$7:$J$247,MATCH($A75,'Master Plan'!$A$7:$A$247,0)))</x:f>
      </x:c>
      <x:c r="K75" s="27" t="str">
        <x:f>IF($A75="","",INDEX('Master Plan'!$K$7:$K$247,MATCH($A75,'Master Plan'!$A$7:$A$247,0)))</x:f>
      </x:c>
    </x:row>
    <x:row r="76" ht="25" customHeight="1">
      <x:c r="A76" s="21" t="str">
        <x:f>IF(ROWS($A$8:A76)&gt;COUNT('Master Plan'!$P$7:$P$247),"",INDEX('Master Plan'!$A$7:$A$247,MATCH(ROWS($A$8:A76),'Master Plan'!$P$7:$P$247,0)))</x:f>
        <x:v>​6.7</x:v>
      </x:c>
      <x:c r="B76" s="18" t="str">
        <x:f>IF($A76="","",INDEX('Master Plan'!$B$7:$B$247,MATCH($A76,'Master Plan'!$A$7:$A$247,0)))</x:f>
        <x:v>Legal / Compliance / Privacy</x:v>
      </x:c>
      <x:c r="C76" s="18" t="str">
        <x:f>IF($A76="","",INDEX('Master Plan'!$C$7:$C$247,MATCH($A76,'Master Plan'!$A$7:$A$247,0)))</x:f>
        <x:v>Review privacy notice implications</x:v>
      </x:c>
      <x:c r="D76" s="18" t="str">
        <x:f>IF($A76="","",INDEX('Master Plan'!$D$7:$D$247,MATCH($A76,'Master Plan'!$A$7:$A$247,0)))</x:f>
        <x:v>Privacy</x:v>
      </x:c>
      <x:c r="E76" s="23" t="n">
        <x:f>IF($A76="","",INDEX('Master Plan'!$E$7:$E$247,MATCH($A76,'Master Plan'!$A$7:$A$247,0)))</x:f>
        <x:v>3</x:v>
      </x:c>
      <x:c r="F76" s="23" t="n">
        <x:f>IF($A76="","",INDEX('Master Plan'!$F$7:$F$247,MATCH($A76,'Master Plan'!$A$7:$A$247,0)))</x:f>
        <x:v>3</x:v>
      </x:c>
      <x:c r="G76" s="23" t="str">
        <x:f>IF($A76="","",INDEX('Master Plan'!$G$7:$G$247,MATCH($A76,'Master Plan'!$A$7:$A$247,0)))</x:f>
        <x:v>Not Started</x:v>
      </x:c>
      <x:c r="H76" s="23" t="str">
        <x:f>IF($A76="","",INDEX('Master Plan'!$H$7:$H$247,MATCH($A76,'Master Plan'!$A$7:$A$247,0)))</x:f>
        <x:v>Due Soon</x:v>
      </x:c>
      <x:c r="I76" s="27" t="str">
        <x:f>IF($A76="","",INDEX('Master Plan'!$I$7:$I$247,MATCH($A76,'Master Plan'!$A$7:$A$247,0)))</x:f>
      </x:c>
      <x:c r="J76" s="27" t="str">
        <x:f>IF($A76="","",INDEX('Master Plan'!$J$7:$J$247,MATCH($A76,'Master Plan'!$A$7:$A$247,0)))</x:f>
      </x:c>
      <x:c r="K76" s="27" t="str">
        <x:f>IF($A76="","",INDEX('Master Plan'!$K$7:$K$247,MATCH($A76,'Master Plan'!$A$7:$A$247,0)))</x:f>
      </x:c>
    </x:row>
    <x:row r="77" ht="25" customHeight="1">
      <x:c r="A77" s="21" t="str">
        <x:f>IF(ROWS($A$8:A77)&gt;COUNT('Master Plan'!$P$7:$P$247),"",INDEX('Master Plan'!$A$7:$A$247,MATCH(ROWS($A$8:A77),'Master Plan'!$P$7:$P$247,0)))</x:f>
        <x:v>​G1</x:v>
      </x:c>
      <x:c r="B77" s="18" t="str">
        <x:f>IF($A77="","",INDEX('Master Plan'!$B$7:$B$247,MATCH($A77,'Master Plan'!$A$7:$A$247,0)))</x:f>
        <x:v>Stage Gates</x:v>
      </x:c>
      <x:c r="C77" s="18" t="str">
        <x:f>IF($A77="","",INDEX('Master Plan'!$C$7:$C$247,MATCH($A77,'Master Plan'!$A$7:$A$247,0)))</x:f>
        <x:v>G1 Scope Approved</x:v>
      </x:c>
      <x:c r="D77" s="18" t="str">
        <x:f>IF($A77="","",INDEX('Master Plan'!$D$7:$D$247,MATCH($A77,'Master Plan'!$A$7:$A$247,0)))</x:f>
        <x:v>Sponsor</x:v>
      </x:c>
      <x:c r="E77" s="23" t="n">
        <x:f>IF($A77="","",INDEX('Master Plan'!$E$7:$E$247,MATCH($A77,'Master Plan'!$A$7:$A$247,0)))</x:f>
        <x:v>3</x:v>
      </x:c>
      <x:c r="F77" s="23" t="n">
        <x:f>IF($A77="","",INDEX('Master Plan'!$F$7:$F$247,MATCH($A77,'Master Plan'!$A$7:$A$247,0)))</x:f>
        <x:v>3</x:v>
      </x:c>
      <x:c r="G77" s="23" t="str">
        <x:f>IF($A77="","",INDEX('Master Plan'!$G$7:$G$247,MATCH($A77,'Master Plan'!$A$7:$A$247,0)))</x:f>
        <x:v>Not Started</x:v>
      </x:c>
      <x:c r="H77" s="23" t="str">
        <x:f>IF($A77="","",INDEX('Master Plan'!$H$7:$H$247,MATCH($A77,'Master Plan'!$A$7:$A$247,0)))</x:f>
        <x:v>Due Soon</x:v>
      </x:c>
      <x:c r="I77" s="27" t="str">
        <x:f>IF($A77="","",INDEX('Master Plan'!$I$7:$I$247,MATCH($A77,'Master Plan'!$A$7:$A$247,0)))</x:f>
      </x:c>
      <x:c r="J77" s="27" t="str">
        <x:f>IF($A77="","",INDEX('Master Plan'!$J$7:$J$247,MATCH($A77,'Master Plan'!$A$7:$A$247,0)))</x:f>
      </x:c>
      <x:c r="K77" s="27" t="str">
        <x:f>IF($A77="","",INDEX('Master Plan'!$K$7:$K$247,MATCH($A77,'Master Plan'!$A$7:$A$247,0)))</x:f>
        <x:v>Product</x:v>
      </x:c>
    </x:row>
    <x:row r="78" ht="25" customHeight="1">
      <x:c r="A78" s="21" t="str">
        <x:f>IF(ROWS($A$8:A78)&gt;COUNT('Master Plan'!$P$7:$P$247),"",INDEX('Master Plan'!$A$7:$A$247,MATCH(ROWS($A$8:A78),'Master Plan'!$P$7:$P$247,0)))</x:f>
      </x:c>
      <x:c r="B78" s="18" t="str">
        <x:f>IF($A78="","",INDEX('Master Plan'!$B$7:$B$247,MATCH($A78,'Master Plan'!$A$7:$A$247,0)))</x:f>
      </x:c>
      <x:c r="C78" s="18" t="str">
        <x:f>IF($A78="","",INDEX('Master Plan'!$C$7:$C$247,MATCH($A78,'Master Plan'!$A$7:$A$247,0)))</x:f>
      </x:c>
      <x:c r="D78" s="18" t="str">
        <x:f>IF($A78="","",INDEX('Master Plan'!$D$7:$D$247,MATCH($A78,'Master Plan'!$A$7:$A$247,0)))</x:f>
      </x:c>
      <x:c r="E78" s="23" t="str">
        <x:f>IF($A78="","",INDEX('Master Plan'!$E$7:$E$247,MATCH($A78,'Master Plan'!$A$7:$A$247,0)))</x:f>
      </x:c>
      <x:c r="F78" s="23" t="str">
        <x:f>IF($A78="","",INDEX('Master Plan'!$F$7:$F$247,MATCH($A78,'Master Plan'!$A$7:$A$247,0)))</x:f>
      </x:c>
      <x:c r="G78" s="23" t="str">
        <x:f>IF($A78="","",INDEX('Master Plan'!$G$7:$G$247,MATCH($A78,'Master Plan'!$A$7:$A$247,0)))</x:f>
      </x:c>
      <x:c r="H78" s="23" t="str">
        <x:f>IF($A78="","",INDEX('Master Plan'!$H$7:$H$247,MATCH($A78,'Master Plan'!$A$7:$A$247,0)))</x:f>
      </x:c>
      <x:c r="I78" s="27" t="str">
        <x:f>IF($A78="","",INDEX('Master Plan'!$I$7:$I$247,MATCH($A78,'Master Plan'!$A$7:$A$247,0)))</x:f>
      </x:c>
      <x:c r="J78" s="27" t="str">
        <x:f>IF($A78="","",INDEX('Master Plan'!$J$7:$J$247,MATCH($A78,'Master Plan'!$A$7:$A$247,0)))</x:f>
      </x:c>
      <x:c r="K78" s="27" t="str">
        <x:f>IF($A78="","",INDEX('Master Plan'!$K$7:$K$247,MATCH($A78,'Master Plan'!$A$7:$A$247,0)))</x:f>
      </x:c>
    </x:row>
    <x:row r="79" ht="25" customHeight="1">
      <x:c r="A79" s="21" t="str">
        <x:f>IF(ROWS($A$8:A79)&gt;COUNT('Master Plan'!$P$7:$P$247),"",INDEX('Master Plan'!$A$7:$A$247,MATCH(ROWS($A$8:A79),'Master Plan'!$P$7:$P$247,0)))</x:f>
      </x:c>
      <x:c r="B79" s="18" t="str">
        <x:f>IF($A79="","",INDEX('Master Plan'!$B$7:$B$247,MATCH($A79,'Master Plan'!$A$7:$A$247,0)))</x:f>
      </x:c>
      <x:c r="C79" s="18" t="str">
        <x:f>IF($A79="","",INDEX('Master Plan'!$C$7:$C$247,MATCH($A79,'Master Plan'!$A$7:$A$247,0)))</x:f>
      </x:c>
      <x:c r="D79" s="18" t="str">
        <x:f>IF($A79="","",INDEX('Master Plan'!$D$7:$D$247,MATCH($A79,'Master Plan'!$A$7:$A$247,0)))</x:f>
      </x:c>
      <x:c r="E79" s="23" t="str">
        <x:f>IF($A79="","",INDEX('Master Plan'!$E$7:$E$247,MATCH($A79,'Master Plan'!$A$7:$A$247,0)))</x:f>
      </x:c>
      <x:c r="F79" s="23" t="str">
        <x:f>IF($A79="","",INDEX('Master Plan'!$F$7:$F$247,MATCH($A79,'Master Plan'!$A$7:$A$247,0)))</x:f>
      </x:c>
      <x:c r="G79" s="23" t="str">
        <x:f>IF($A79="","",INDEX('Master Plan'!$G$7:$G$247,MATCH($A79,'Master Plan'!$A$7:$A$247,0)))</x:f>
      </x:c>
      <x:c r="H79" s="23" t="str">
        <x:f>IF($A79="","",INDEX('Master Plan'!$H$7:$H$247,MATCH($A79,'Master Plan'!$A$7:$A$247,0)))</x:f>
      </x:c>
      <x:c r="I79" s="27" t="str">
        <x:f>IF($A79="","",INDEX('Master Plan'!$I$7:$I$247,MATCH($A79,'Master Plan'!$A$7:$A$247,0)))</x:f>
      </x:c>
      <x:c r="J79" s="27" t="str">
        <x:f>IF($A79="","",INDEX('Master Plan'!$J$7:$J$247,MATCH($A79,'Master Plan'!$A$7:$A$247,0)))</x:f>
      </x:c>
      <x:c r="K79" s="27" t="str">
        <x:f>IF($A79="","",INDEX('Master Plan'!$K$7:$K$247,MATCH($A79,'Master Plan'!$A$7:$A$247,0)))</x:f>
      </x:c>
    </x:row>
    <x:row r="80" ht="25" customHeight="1">
      <x:c r="A80" s="21" t="str">
        <x:f>IF(ROWS($A$8:A80)&gt;COUNT('Master Plan'!$P$7:$P$247),"",INDEX('Master Plan'!$A$7:$A$247,MATCH(ROWS($A$8:A80),'Master Plan'!$P$7:$P$247,0)))</x:f>
      </x:c>
      <x:c r="B80" s="18" t="str">
        <x:f>IF($A80="","",INDEX('Master Plan'!$B$7:$B$247,MATCH($A80,'Master Plan'!$A$7:$A$247,0)))</x:f>
      </x:c>
      <x:c r="C80" s="18" t="str">
        <x:f>IF($A80="","",INDEX('Master Plan'!$C$7:$C$247,MATCH($A80,'Master Plan'!$A$7:$A$247,0)))</x:f>
      </x:c>
      <x:c r="D80" s="18" t="str">
        <x:f>IF($A80="","",INDEX('Master Plan'!$D$7:$D$247,MATCH($A80,'Master Plan'!$A$7:$A$247,0)))</x:f>
      </x:c>
      <x:c r="E80" s="23" t="str">
        <x:f>IF($A80="","",INDEX('Master Plan'!$E$7:$E$247,MATCH($A80,'Master Plan'!$A$7:$A$247,0)))</x:f>
      </x:c>
      <x:c r="F80" s="23" t="str">
        <x:f>IF($A80="","",INDEX('Master Plan'!$F$7:$F$247,MATCH($A80,'Master Plan'!$A$7:$A$247,0)))</x:f>
      </x:c>
      <x:c r="G80" s="23" t="str">
        <x:f>IF($A80="","",INDEX('Master Plan'!$G$7:$G$247,MATCH($A80,'Master Plan'!$A$7:$A$247,0)))</x:f>
      </x:c>
      <x:c r="H80" s="23" t="str">
        <x:f>IF($A80="","",INDEX('Master Plan'!$H$7:$H$247,MATCH($A80,'Master Plan'!$A$7:$A$247,0)))</x:f>
      </x:c>
      <x:c r="I80" s="27" t="str">
        <x:f>IF($A80="","",INDEX('Master Plan'!$I$7:$I$247,MATCH($A80,'Master Plan'!$A$7:$A$247,0)))</x:f>
      </x:c>
      <x:c r="J80" s="27" t="str">
        <x:f>IF($A80="","",INDEX('Master Plan'!$J$7:$J$247,MATCH($A80,'Master Plan'!$A$7:$A$247,0)))</x:f>
      </x:c>
      <x:c r="K80" s="27" t="str">
        <x:f>IF($A80="","",INDEX('Master Plan'!$K$7:$K$247,MATCH($A80,'Master Plan'!$A$7:$A$247,0)))</x:f>
      </x:c>
    </x:row>
    <x:row r="81" ht="25" customHeight="1">
      <x:c r="A81" s="21" t="str">
        <x:f>IF(ROWS($A$8:A81)&gt;COUNT('Master Plan'!$P$7:$P$247),"",INDEX('Master Plan'!$A$7:$A$247,MATCH(ROWS($A$8:A81),'Master Plan'!$P$7:$P$247,0)))</x:f>
      </x:c>
      <x:c r="B81" s="18" t="str">
        <x:f>IF($A81="","",INDEX('Master Plan'!$B$7:$B$247,MATCH($A81,'Master Plan'!$A$7:$A$247,0)))</x:f>
      </x:c>
      <x:c r="C81" s="18" t="str">
        <x:f>IF($A81="","",INDEX('Master Plan'!$C$7:$C$247,MATCH($A81,'Master Plan'!$A$7:$A$247,0)))</x:f>
      </x:c>
      <x:c r="D81" s="18" t="str">
        <x:f>IF($A81="","",INDEX('Master Plan'!$D$7:$D$247,MATCH($A81,'Master Plan'!$A$7:$A$247,0)))</x:f>
      </x:c>
      <x:c r="E81" s="23" t="str">
        <x:f>IF($A81="","",INDEX('Master Plan'!$E$7:$E$247,MATCH($A81,'Master Plan'!$A$7:$A$247,0)))</x:f>
      </x:c>
      <x:c r="F81" s="23" t="str">
        <x:f>IF($A81="","",INDEX('Master Plan'!$F$7:$F$247,MATCH($A81,'Master Plan'!$A$7:$A$247,0)))</x:f>
      </x:c>
      <x:c r="G81" s="23" t="str">
        <x:f>IF($A81="","",INDEX('Master Plan'!$G$7:$G$247,MATCH($A81,'Master Plan'!$A$7:$A$247,0)))</x:f>
      </x:c>
      <x:c r="H81" s="23" t="str">
        <x:f>IF($A81="","",INDEX('Master Plan'!$H$7:$H$247,MATCH($A81,'Master Plan'!$A$7:$A$247,0)))</x:f>
      </x:c>
      <x:c r="I81" s="27" t="str">
        <x:f>IF($A81="","",INDEX('Master Plan'!$I$7:$I$247,MATCH($A81,'Master Plan'!$A$7:$A$247,0)))</x:f>
      </x:c>
      <x:c r="J81" s="27" t="str">
        <x:f>IF($A81="","",INDEX('Master Plan'!$J$7:$J$247,MATCH($A81,'Master Plan'!$A$7:$A$247,0)))</x:f>
      </x:c>
      <x:c r="K81" s="27" t="str">
        <x:f>IF($A81="","",INDEX('Master Plan'!$K$7:$K$247,MATCH($A81,'Master Plan'!$A$7:$A$247,0)))</x:f>
      </x:c>
    </x:row>
    <x:row r="82" ht="25" customHeight="1">
      <x:c r="A82" s="21" t="str">
        <x:f>IF(ROWS($A$8:A82)&gt;COUNT('Master Plan'!$P$7:$P$247),"",INDEX('Master Plan'!$A$7:$A$247,MATCH(ROWS($A$8:A82),'Master Plan'!$P$7:$P$247,0)))</x:f>
      </x:c>
      <x:c r="B82" s="18" t="str">
        <x:f>IF($A82="","",INDEX('Master Plan'!$B$7:$B$247,MATCH($A82,'Master Plan'!$A$7:$A$247,0)))</x:f>
      </x:c>
      <x:c r="C82" s="18" t="str">
        <x:f>IF($A82="","",INDEX('Master Plan'!$C$7:$C$247,MATCH($A82,'Master Plan'!$A$7:$A$247,0)))</x:f>
      </x:c>
      <x:c r="D82" s="18" t="str">
        <x:f>IF($A82="","",INDEX('Master Plan'!$D$7:$D$247,MATCH($A82,'Master Plan'!$A$7:$A$247,0)))</x:f>
      </x:c>
      <x:c r="E82" s="23" t="str">
        <x:f>IF($A82="","",INDEX('Master Plan'!$E$7:$E$247,MATCH($A82,'Master Plan'!$A$7:$A$247,0)))</x:f>
      </x:c>
      <x:c r="F82" s="23" t="str">
        <x:f>IF($A82="","",INDEX('Master Plan'!$F$7:$F$247,MATCH($A82,'Master Plan'!$A$7:$A$247,0)))</x:f>
      </x:c>
      <x:c r="G82" s="23" t="str">
        <x:f>IF($A82="","",INDEX('Master Plan'!$G$7:$G$247,MATCH($A82,'Master Plan'!$A$7:$A$247,0)))</x:f>
      </x:c>
      <x:c r="H82" s="23" t="str">
        <x:f>IF($A82="","",INDEX('Master Plan'!$H$7:$H$247,MATCH($A82,'Master Plan'!$A$7:$A$247,0)))</x:f>
      </x:c>
      <x:c r="I82" s="27" t="str">
        <x:f>IF($A82="","",INDEX('Master Plan'!$I$7:$I$247,MATCH($A82,'Master Plan'!$A$7:$A$247,0)))</x:f>
      </x:c>
      <x:c r="J82" s="27" t="str">
        <x:f>IF($A82="","",INDEX('Master Plan'!$J$7:$J$247,MATCH($A82,'Master Plan'!$A$7:$A$247,0)))</x:f>
      </x:c>
      <x:c r="K82" s="27" t="str">
        <x:f>IF($A82="","",INDEX('Master Plan'!$K$7:$K$247,MATCH($A82,'Master Plan'!$A$7:$A$247,0)))</x:f>
      </x:c>
    </x:row>
    <x:row r="83" ht="25" customHeight="1">
      <x:c r="A83" s="21" t="str">
        <x:f>IF(ROWS($A$8:A83)&gt;COUNT('Master Plan'!$P$7:$P$247),"",INDEX('Master Plan'!$A$7:$A$247,MATCH(ROWS($A$8:A83),'Master Plan'!$P$7:$P$247,0)))</x:f>
      </x:c>
      <x:c r="B83" s="18" t="str">
        <x:f>IF($A83="","",INDEX('Master Plan'!$B$7:$B$247,MATCH($A83,'Master Plan'!$A$7:$A$247,0)))</x:f>
      </x:c>
      <x:c r="C83" s="18" t="str">
        <x:f>IF($A83="","",INDEX('Master Plan'!$C$7:$C$247,MATCH($A83,'Master Plan'!$A$7:$A$247,0)))</x:f>
      </x:c>
      <x:c r="D83" s="18" t="str">
        <x:f>IF($A83="","",INDEX('Master Plan'!$D$7:$D$247,MATCH($A83,'Master Plan'!$A$7:$A$247,0)))</x:f>
      </x:c>
      <x:c r="E83" s="23" t="str">
        <x:f>IF($A83="","",INDEX('Master Plan'!$E$7:$E$247,MATCH($A83,'Master Plan'!$A$7:$A$247,0)))</x:f>
      </x:c>
      <x:c r="F83" s="23" t="str">
        <x:f>IF($A83="","",INDEX('Master Plan'!$F$7:$F$247,MATCH($A83,'Master Plan'!$A$7:$A$247,0)))</x:f>
      </x:c>
      <x:c r="G83" s="23" t="str">
        <x:f>IF($A83="","",INDEX('Master Plan'!$G$7:$G$247,MATCH($A83,'Master Plan'!$A$7:$A$247,0)))</x:f>
      </x:c>
      <x:c r="H83" s="23" t="str">
        <x:f>IF($A83="","",INDEX('Master Plan'!$H$7:$H$247,MATCH($A83,'Master Plan'!$A$7:$A$247,0)))</x:f>
      </x:c>
      <x:c r="I83" s="27" t="str">
        <x:f>IF($A83="","",INDEX('Master Plan'!$I$7:$I$247,MATCH($A83,'Master Plan'!$A$7:$A$247,0)))</x:f>
      </x:c>
      <x:c r="J83" s="27" t="str">
        <x:f>IF($A83="","",INDEX('Master Plan'!$J$7:$J$247,MATCH($A83,'Master Plan'!$A$7:$A$247,0)))</x:f>
      </x:c>
      <x:c r="K83" s="27" t="str">
        <x:f>IF($A83="","",INDEX('Master Plan'!$K$7:$K$247,MATCH($A83,'Master Plan'!$A$7:$A$247,0)))</x:f>
      </x:c>
    </x:row>
    <x:row r="84" ht="25" customHeight="1">
      <x:c r="A84" s="21" t="str">
        <x:f>IF(ROWS($A$8:A84)&gt;COUNT('Master Plan'!$P$7:$P$247),"",INDEX('Master Plan'!$A$7:$A$247,MATCH(ROWS($A$8:A84),'Master Plan'!$P$7:$P$247,0)))</x:f>
      </x:c>
      <x:c r="B84" s="18" t="str">
        <x:f>IF($A84="","",INDEX('Master Plan'!$B$7:$B$247,MATCH($A84,'Master Plan'!$A$7:$A$247,0)))</x:f>
      </x:c>
      <x:c r="C84" s="18" t="str">
        <x:f>IF($A84="","",INDEX('Master Plan'!$C$7:$C$247,MATCH($A84,'Master Plan'!$A$7:$A$247,0)))</x:f>
      </x:c>
      <x:c r="D84" s="18" t="str">
        <x:f>IF($A84="","",INDEX('Master Plan'!$D$7:$D$247,MATCH($A84,'Master Plan'!$A$7:$A$247,0)))</x:f>
      </x:c>
      <x:c r="E84" s="23" t="str">
        <x:f>IF($A84="","",INDEX('Master Plan'!$E$7:$E$247,MATCH($A84,'Master Plan'!$A$7:$A$247,0)))</x:f>
      </x:c>
      <x:c r="F84" s="23" t="str">
        <x:f>IF($A84="","",INDEX('Master Plan'!$F$7:$F$247,MATCH($A84,'Master Plan'!$A$7:$A$247,0)))</x:f>
      </x:c>
      <x:c r="G84" s="23" t="str">
        <x:f>IF($A84="","",INDEX('Master Plan'!$G$7:$G$247,MATCH($A84,'Master Plan'!$A$7:$A$247,0)))</x:f>
      </x:c>
      <x:c r="H84" s="23" t="str">
        <x:f>IF($A84="","",INDEX('Master Plan'!$H$7:$H$247,MATCH($A84,'Master Plan'!$A$7:$A$247,0)))</x:f>
      </x:c>
      <x:c r="I84" s="27" t="str">
        <x:f>IF($A84="","",INDEX('Master Plan'!$I$7:$I$247,MATCH($A84,'Master Plan'!$A$7:$A$247,0)))</x:f>
      </x:c>
      <x:c r="J84" s="27" t="str">
        <x:f>IF($A84="","",INDEX('Master Plan'!$J$7:$J$247,MATCH($A84,'Master Plan'!$A$7:$A$247,0)))</x:f>
      </x:c>
      <x:c r="K84" s="27" t="str">
        <x:f>IF($A84="","",INDEX('Master Plan'!$K$7:$K$247,MATCH($A84,'Master Plan'!$A$7:$A$247,0)))</x:f>
      </x:c>
    </x:row>
    <x:row r="85" ht="25" customHeight="1">
      <x:c r="A85" s="21" t="str">
        <x:f>IF(ROWS($A$8:A85)&gt;COUNT('Master Plan'!$P$7:$P$247),"",INDEX('Master Plan'!$A$7:$A$247,MATCH(ROWS($A$8:A85),'Master Plan'!$P$7:$P$247,0)))</x:f>
      </x:c>
      <x:c r="B85" s="18" t="str">
        <x:f>IF($A85="","",INDEX('Master Plan'!$B$7:$B$247,MATCH($A85,'Master Plan'!$A$7:$A$247,0)))</x:f>
      </x:c>
      <x:c r="C85" s="18" t="str">
        <x:f>IF($A85="","",INDEX('Master Plan'!$C$7:$C$247,MATCH($A85,'Master Plan'!$A$7:$A$247,0)))</x:f>
      </x:c>
      <x:c r="D85" s="18" t="str">
        <x:f>IF($A85="","",INDEX('Master Plan'!$D$7:$D$247,MATCH($A85,'Master Plan'!$A$7:$A$247,0)))</x:f>
      </x:c>
      <x:c r="E85" s="23" t="str">
        <x:f>IF($A85="","",INDEX('Master Plan'!$E$7:$E$247,MATCH($A85,'Master Plan'!$A$7:$A$247,0)))</x:f>
      </x:c>
      <x:c r="F85" s="23" t="str">
        <x:f>IF($A85="","",INDEX('Master Plan'!$F$7:$F$247,MATCH($A85,'Master Plan'!$A$7:$A$247,0)))</x:f>
      </x:c>
      <x:c r="G85" s="23" t="str">
        <x:f>IF($A85="","",INDEX('Master Plan'!$G$7:$G$247,MATCH($A85,'Master Plan'!$A$7:$A$247,0)))</x:f>
      </x:c>
      <x:c r="H85" s="23" t="str">
        <x:f>IF($A85="","",INDEX('Master Plan'!$H$7:$H$247,MATCH($A85,'Master Plan'!$A$7:$A$247,0)))</x:f>
      </x:c>
      <x:c r="I85" s="27" t="str">
        <x:f>IF($A85="","",INDEX('Master Plan'!$I$7:$I$247,MATCH($A85,'Master Plan'!$A$7:$A$247,0)))</x:f>
      </x:c>
      <x:c r="J85" s="27" t="str">
        <x:f>IF($A85="","",INDEX('Master Plan'!$J$7:$J$247,MATCH($A85,'Master Plan'!$A$7:$A$247,0)))</x:f>
      </x:c>
      <x:c r="K85" s="27" t="str">
        <x:f>IF($A85="","",INDEX('Master Plan'!$K$7:$K$247,MATCH($A85,'Master Plan'!$A$7:$A$247,0)))</x:f>
      </x:c>
    </x:row>
    <x:row r="86" ht="25" customHeight="1">
      <x:c r="A86" s="21" t="str">
        <x:f>IF(ROWS($A$8:A86)&gt;COUNT('Master Plan'!$P$7:$P$247),"",INDEX('Master Plan'!$A$7:$A$247,MATCH(ROWS($A$8:A86),'Master Plan'!$P$7:$P$247,0)))</x:f>
      </x:c>
      <x:c r="B86" s="18" t="str">
        <x:f>IF($A86="","",INDEX('Master Plan'!$B$7:$B$247,MATCH($A86,'Master Plan'!$A$7:$A$247,0)))</x:f>
      </x:c>
      <x:c r="C86" s="18" t="str">
        <x:f>IF($A86="","",INDEX('Master Plan'!$C$7:$C$247,MATCH($A86,'Master Plan'!$A$7:$A$247,0)))</x:f>
      </x:c>
      <x:c r="D86" s="18" t="str">
        <x:f>IF($A86="","",INDEX('Master Plan'!$D$7:$D$247,MATCH($A86,'Master Plan'!$A$7:$A$247,0)))</x:f>
      </x:c>
      <x:c r="E86" s="23" t="str">
        <x:f>IF($A86="","",INDEX('Master Plan'!$E$7:$E$247,MATCH($A86,'Master Plan'!$A$7:$A$247,0)))</x:f>
      </x:c>
      <x:c r="F86" s="23" t="str">
        <x:f>IF($A86="","",INDEX('Master Plan'!$F$7:$F$247,MATCH($A86,'Master Plan'!$A$7:$A$247,0)))</x:f>
      </x:c>
      <x:c r="G86" s="23" t="str">
        <x:f>IF($A86="","",INDEX('Master Plan'!$G$7:$G$247,MATCH($A86,'Master Plan'!$A$7:$A$247,0)))</x:f>
      </x:c>
      <x:c r="H86" s="23" t="str">
        <x:f>IF($A86="","",INDEX('Master Plan'!$H$7:$H$247,MATCH($A86,'Master Plan'!$A$7:$A$247,0)))</x:f>
      </x:c>
      <x:c r="I86" s="27" t="str">
        <x:f>IF($A86="","",INDEX('Master Plan'!$I$7:$I$247,MATCH($A86,'Master Plan'!$A$7:$A$247,0)))</x:f>
      </x:c>
      <x:c r="J86" s="27" t="str">
        <x:f>IF($A86="","",INDEX('Master Plan'!$J$7:$J$247,MATCH($A86,'Master Plan'!$A$7:$A$247,0)))</x:f>
      </x:c>
      <x:c r="K86" s="27" t="str">
        <x:f>IF($A86="","",INDEX('Master Plan'!$K$7:$K$247,MATCH($A86,'Master Plan'!$A$7:$A$247,0)))</x:f>
      </x:c>
    </x:row>
    <x:row r="87" ht="25" customHeight="1">
      <x:c r="A87" s="21" t="str">
        <x:f>IF(ROWS($A$8:A87)&gt;COUNT('Master Plan'!$P$7:$P$247),"",INDEX('Master Plan'!$A$7:$A$247,MATCH(ROWS($A$8:A87),'Master Plan'!$P$7:$P$247,0)))</x:f>
      </x:c>
      <x:c r="B87" s="18" t="str">
        <x:f>IF($A87="","",INDEX('Master Plan'!$B$7:$B$247,MATCH($A87,'Master Plan'!$A$7:$A$247,0)))</x:f>
      </x:c>
      <x:c r="C87" s="18" t="str">
        <x:f>IF($A87="","",INDEX('Master Plan'!$C$7:$C$247,MATCH($A87,'Master Plan'!$A$7:$A$247,0)))</x:f>
      </x:c>
      <x:c r="D87" s="18" t="str">
        <x:f>IF($A87="","",INDEX('Master Plan'!$D$7:$D$247,MATCH($A87,'Master Plan'!$A$7:$A$247,0)))</x:f>
      </x:c>
      <x:c r="E87" s="23" t="str">
        <x:f>IF($A87="","",INDEX('Master Plan'!$E$7:$E$247,MATCH($A87,'Master Plan'!$A$7:$A$247,0)))</x:f>
      </x:c>
      <x:c r="F87" s="23" t="str">
        <x:f>IF($A87="","",INDEX('Master Plan'!$F$7:$F$247,MATCH($A87,'Master Plan'!$A$7:$A$247,0)))</x:f>
      </x:c>
      <x:c r="G87" s="23" t="str">
        <x:f>IF($A87="","",INDEX('Master Plan'!$G$7:$G$247,MATCH($A87,'Master Plan'!$A$7:$A$247,0)))</x:f>
      </x:c>
      <x:c r="H87" s="23" t="str">
        <x:f>IF($A87="","",INDEX('Master Plan'!$H$7:$H$247,MATCH($A87,'Master Plan'!$A$7:$A$247,0)))</x:f>
      </x:c>
      <x:c r="I87" s="27" t="str">
        <x:f>IF($A87="","",INDEX('Master Plan'!$I$7:$I$247,MATCH($A87,'Master Plan'!$A$7:$A$247,0)))</x:f>
      </x:c>
      <x:c r="J87" s="27" t="str">
        <x:f>IF($A87="","",INDEX('Master Plan'!$J$7:$J$247,MATCH($A87,'Master Plan'!$A$7:$A$247,0)))</x:f>
      </x:c>
      <x:c r="K87" s="27" t="str">
        <x:f>IF($A87="","",INDEX('Master Plan'!$K$7:$K$247,MATCH($A87,'Master Plan'!$A$7:$A$247,0)))</x:f>
      </x:c>
    </x:row>
    <x:row r="88" ht="25" customHeight="1">
      <x:c r="A88" s="21" t="str">
        <x:f>IF(ROWS($A$8:A88)&gt;COUNT('Master Plan'!$P$7:$P$247),"",INDEX('Master Plan'!$A$7:$A$247,MATCH(ROWS($A$8:A88),'Master Plan'!$P$7:$P$247,0)))</x:f>
      </x:c>
      <x:c r="B88" s="18" t="str">
        <x:f>IF($A88="","",INDEX('Master Plan'!$B$7:$B$247,MATCH($A88,'Master Plan'!$A$7:$A$247,0)))</x:f>
      </x:c>
      <x:c r="C88" s="18" t="str">
        <x:f>IF($A88="","",INDEX('Master Plan'!$C$7:$C$247,MATCH($A88,'Master Plan'!$A$7:$A$247,0)))</x:f>
      </x:c>
      <x:c r="D88" s="18" t="str">
        <x:f>IF($A88="","",INDEX('Master Plan'!$D$7:$D$247,MATCH($A88,'Master Plan'!$A$7:$A$247,0)))</x:f>
      </x:c>
      <x:c r="E88" s="23" t="str">
        <x:f>IF($A88="","",INDEX('Master Plan'!$E$7:$E$247,MATCH($A88,'Master Plan'!$A$7:$A$247,0)))</x:f>
      </x:c>
      <x:c r="F88" s="23" t="str">
        <x:f>IF($A88="","",INDEX('Master Plan'!$F$7:$F$247,MATCH($A88,'Master Plan'!$A$7:$A$247,0)))</x:f>
      </x:c>
      <x:c r="G88" s="23" t="str">
        <x:f>IF($A88="","",INDEX('Master Plan'!$G$7:$G$247,MATCH($A88,'Master Plan'!$A$7:$A$247,0)))</x:f>
      </x:c>
      <x:c r="H88" s="23" t="str">
        <x:f>IF($A88="","",INDEX('Master Plan'!$H$7:$H$247,MATCH($A88,'Master Plan'!$A$7:$A$247,0)))</x:f>
      </x:c>
      <x:c r="I88" s="27" t="str">
        <x:f>IF($A88="","",INDEX('Master Plan'!$I$7:$I$247,MATCH($A88,'Master Plan'!$A$7:$A$247,0)))</x:f>
      </x:c>
      <x:c r="J88" s="27" t="str">
        <x:f>IF($A88="","",INDEX('Master Plan'!$J$7:$J$247,MATCH($A88,'Master Plan'!$A$7:$A$247,0)))</x:f>
      </x:c>
      <x:c r="K88" s="27" t="str">
        <x:f>IF($A88="","",INDEX('Master Plan'!$K$7:$K$247,MATCH($A88,'Master Plan'!$A$7:$A$247,0)))</x:f>
      </x:c>
    </x:row>
    <x:row r="89" ht="25" customHeight="1">
      <x:c r="A89" s="21" t="str">
        <x:f>IF(ROWS($A$8:A89)&gt;COUNT('Master Plan'!$P$7:$P$247),"",INDEX('Master Plan'!$A$7:$A$247,MATCH(ROWS($A$8:A89),'Master Plan'!$P$7:$P$247,0)))</x:f>
      </x:c>
      <x:c r="B89" s="18" t="str">
        <x:f>IF($A89="","",INDEX('Master Plan'!$B$7:$B$247,MATCH($A89,'Master Plan'!$A$7:$A$247,0)))</x:f>
      </x:c>
      <x:c r="C89" s="18" t="str">
        <x:f>IF($A89="","",INDEX('Master Plan'!$C$7:$C$247,MATCH($A89,'Master Plan'!$A$7:$A$247,0)))</x:f>
      </x:c>
      <x:c r="D89" s="18" t="str">
        <x:f>IF($A89="","",INDEX('Master Plan'!$D$7:$D$247,MATCH($A89,'Master Plan'!$A$7:$A$247,0)))</x:f>
      </x:c>
      <x:c r="E89" s="23" t="str">
        <x:f>IF($A89="","",INDEX('Master Plan'!$E$7:$E$247,MATCH($A89,'Master Plan'!$A$7:$A$247,0)))</x:f>
      </x:c>
      <x:c r="F89" s="23" t="str">
        <x:f>IF($A89="","",INDEX('Master Plan'!$F$7:$F$247,MATCH($A89,'Master Plan'!$A$7:$A$247,0)))</x:f>
      </x:c>
      <x:c r="G89" s="23" t="str">
        <x:f>IF($A89="","",INDEX('Master Plan'!$G$7:$G$247,MATCH($A89,'Master Plan'!$A$7:$A$247,0)))</x:f>
      </x:c>
      <x:c r="H89" s="23" t="str">
        <x:f>IF($A89="","",INDEX('Master Plan'!$H$7:$H$247,MATCH($A89,'Master Plan'!$A$7:$A$247,0)))</x:f>
      </x:c>
      <x:c r="I89" s="27" t="str">
        <x:f>IF($A89="","",INDEX('Master Plan'!$I$7:$I$247,MATCH($A89,'Master Plan'!$A$7:$A$247,0)))</x:f>
      </x:c>
      <x:c r="J89" s="27" t="str">
        <x:f>IF($A89="","",INDEX('Master Plan'!$J$7:$J$247,MATCH($A89,'Master Plan'!$A$7:$A$247,0)))</x:f>
      </x:c>
      <x:c r="K89" s="27" t="str">
        <x:f>IF($A89="","",INDEX('Master Plan'!$K$7:$K$247,MATCH($A89,'Master Plan'!$A$7:$A$247,0)))</x:f>
      </x:c>
    </x:row>
    <x:row r="90" ht="25" customHeight="1">
      <x:c r="A90" s="21" t="str">
        <x:f>IF(ROWS($A$8:A90)&gt;COUNT('Master Plan'!$P$7:$P$247),"",INDEX('Master Plan'!$A$7:$A$247,MATCH(ROWS($A$8:A90),'Master Plan'!$P$7:$P$247,0)))</x:f>
      </x:c>
      <x:c r="B90" s="18" t="str">
        <x:f>IF($A90="","",INDEX('Master Plan'!$B$7:$B$247,MATCH($A90,'Master Plan'!$A$7:$A$247,0)))</x:f>
      </x:c>
      <x:c r="C90" s="18" t="str">
        <x:f>IF($A90="","",INDEX('Master Plan'!$C$7:$C$247,MATCH($A90,'Master Plan'!$A$7:$A$247,0)))</x:f>
      </x:c>
      <x:c r="D90" s="18" t="str">
        <x:f>IF($A90="","",INDEX('Master Plan'!$D$7:$D$247,MATCH($A90,'Master Plan'!$A$7:$A$247,0)))</x:f>
      </x:c>
      <x:c r="E90" s="23" t="str">
        <x:f>IF($A90="","",INDEX('Master Plan'!$E$7:$E$247,MATCH($A90,'Master Plan'!$A$7:$A$247,0)))</x:f>
      </x:c>
      <x:c r="F90" s="23" t="str">
        <x:f>IF($A90="","",INDEX('Master Plan'!$F$7:$F$247,MATCH($A90,'Master Plan'!$A$7:$A$247,0)))</x:f>
      </x:c>
      <x:c r="G90" s="23" t="str">
        <x:f>IF($A90="","",INDEX('Master Plan'!$G$7:$G$247,MATCH($A90,'Master Plan'!$A$7:$A$247,0)))</x:f>
      </x:c>
      <x:c r="H90" s="23" t="str">
        <x:f>IF($A90="","",INDEX('Master Plan'!$H$7:$H$247,MATCH($A90,'Master Plan'!$A$7:$A$247,0)))</x:f>
      </x:c>
      <x:c r="I90" s="27" t="str">
        <x:f>IF($A90="","",INDEX('Master Plan'!$I$7:$I$247,MATCH($A90,'Master Plan'!$A$7:$A$247,0)))</x:f>
      </x:c>
      <x:c r="J90" s="27" t="str">
        <x:f>IF($A90="","",INDEX('Master Plan'!$J$7:$J$247,MATCH($A90,'Master Plan'!$A$7:$A$247,0)))</x:f>
      </x:c>
      <x:c r="K90" s="27" t="str">
        <x:f>IF($A90="","",INDEX('Master Plan'!$K$7:$K$247,MATCH($A90,'Master Plan'!$A$7:$A$247,0)))</x:f>
      </x:c>
    </x:row>
    <x:row r="91" ht="25" customHeight="1">
      <x:c r="A91" s="21" t="str">
        <x:f>IF(ROWS($A$8:A91)&gt;COUNT('Master Plan'!$P$7:$P$247),"",INDEX('Master Plan'!$A$7:$A$247,MATCH(ROWS($A$8:A91),'Master Plan'!$P$7:$P$247,0)))</x:f>
      </x:c>
      <x:c r="B91" s="18" t="str">
        <x:f>IF($A91="","",INDEX('Master Plan'!$B$7:$B$247,MATCH($A91,'Master Plan'!$A$7:$A$247,0)))</x:f>
      </x:c>
      <x:c r="C91" s="18" t="str">
        <x:f>IF($A91="","",INDEX('Master Plan'!$C$7:$C$247,MATCH($A91,'Master Plan'!$A$7:$A$247,0)))</x:f>
      </x:c>
      <x:c r="D91" s="18" t="str">
        <x:f>IF($A91="","",INDEX('Master Plan'!$D$7:$D$247,MATCH($A91,'Master Plan'!$A$7:$A$247,0)))</x:f>
      </x:c>
      <x:c r="E91" s="23" t="str">
        <x:f>IF($A91="","",INDEX('Master Plan'!$E$7:$E$247,MATCH($A91,'Master Plan'!$A$7:$A$247,0)))</x:f>
      </x:c>
      <x:c r="F91" s="23" t="str">
        <x:f>IF($A91="","",INDEX('Master Plan'!$F$7:$F$247,MATCH($A91,'Master Plan'!$A$7:$A$247,0)))</x:f>
      </x:c>
      <x:c r="G91" s="23" t="str">
        <x:f>IF($A91="","",INDEX('Master Plan'!$G$7:$G$247,MATCH($A91,'Master Plan'!$A$7:$A$247,0)))</x:f>
      </x:c>
      <x:c r="H91" s="23" t="str">
        <x:f>IF($A91="","",INDEX('Master Plan'!$H$7:$H$247,MATCH($A91,'Master Plan'!$A$7:$A$247,0)))</x:f>
      </x:c>
      <x:c r="I91" s="27" t="str">
        <x:f>IF($A91="","",INDEX('Master Plan'!$I$7:$I$247,MATCH($A91,'Master Plan'!$A$7:$A$247,0)))</x:f>
      </x:c>
      <x:c r="J91" s="27" t="str">
        <x:f>IF($A91="","",INDEX('Master Plan'!$J$7:$J$247,MATCH($A91,'Master Plan'!$A$7:$A$247,0)))</x:f>
      </x:c>
      <x:c r="K91" s="27" t="str">
        <x:f>IF($A91="","",INDEX('Master Plan'!$K$7:$K$247,MATCH($A91,'Master Plan'!$A$7:$A$247,0)))</x:f>
      </x:c>
    </x:row>
    <x:row r="92" ht="25" customHeight="1">
      <x:c r="A92" s="21" t="str">
        <x:f>IF(ROWS($A$8:A92)&gt;COUNT('Master Plan'!$P$7:$P$247),"",INDEX('Master Plan'!$A$7:$A$247,MATCH(ROWS($A$8:A92),'Master Plan'!$P$7:$P$247,0)))</x:f>
      </x:c>
      <x:c r="B92" s="18" t="str">
        <x:f>IF($A92="","",INDEX('Master Plan'!$B$7:$B$247,MATCH($A92,'Master Plan'!$A$7:$A$247,0)))</x:f>
      </x:c>
      <x:c r="C92" s="18" t="str">
        <x:f>IF($A92="","",INDEX('Master Plan'!$C$7:$C$247,MATCH($A92,'Master Plan'!$A$7:$A$247,0)))</x:f>
      </x:c>
      <x:c r="D92" s="18" t="str">
        <x:f>IF($A92="","",INDEX('Master Plan'!$D$7:$D$247,MATCH($A92,'Master Plan'!$A$7:$A$247,0)))</x:f>
      </x:c>
      <x:c r="E92" s="23" t="str">
        <x:f>IF($A92="","",INDEX('Master Plan'!$E$7:$E$247,MATCH($A92,'Master Plan'!$A$7:$A$247,0)))</x:f>
      </x:c>
      <x:c r="F92" s="23" t="str">
        <x:f>IF($A92="","",INDEX('Master Plan'!$F$7:$F$247,MATCH($A92,'Master Plan'!$A$7:$A$247,0)))</x:f>
      </x:c>
      <x:c r="G92" s="23" t="str">
        <x:f>IF($A92="","",INDEX('Master Plan'!$G$7:$G$247,MATCH($A92,'Master Plan'!$A$7:$A$247,0)))</x:f>
      </x:c>
      <x:c r="H92" s="23" t="str">
        <x:f>IF($A92="","",INDEX('Master Plan'!$H$7:$H$247,MATCH($A92,'Master Plan'!$A$7:$A$247,0)))</x:f>
      </x:c>
      <x:c r="I92" s="27" t="str">
        <x:f>IF($A92="","",INDEX('Master Plan'!$I$7:$I$247,MATCH($A92,'Master Plan'!$A$7:$A$247,0)))</x:f>
      </x:c>
      <x:c r="J92" s="27" t="str">
        <x:f>IF($A92="","",INDEX('Master Plan'!$J$7:$J$247,MATCH($A92,'Master Plan'!$A$7:$A$247,0)))</x:f>
      </x:c>
      <x:c r="K92" s="27" t="str">
        <x:f>IF($A92="","",INDEX('Master Plan'!$K$7:$K$247,MATCH($A92,'Master Plan'!$A$7:$A$247,0)))</x:f>
      </x:c>
    </x:row>
    <x:row r="93" ht="25" customHeight="1">
      <x:c r="A93" s="21" t="str">
        <x:f>IF(ROWS($A$8:A93)&gt;COUNT('Master Plan'!$P$7:$P$247),"",INDEX('Master Plan'!$A$7:$A$247,MATCH(ROWS($A$8:A93),'Master Plan'!$P$7:$P$247,0)))</x:f>
      </x:c>
      <x:c r="B93" s="18" t="str">
        <x:f>IF($A93="","",INDEX('Master Plan'!$B$7:$B$247,MATCH($A93,'Master Plan'!$A$7:$A$247,0)))</x:f>
      </x:c>
      <x:c r="C93" s="18" t="str">
        <x:f>IF($A93="","",INDEX('Master Plan'!$C$7:$C$247,MATCH($A93,'Master Plan'!$A$7:$A$247,0)))</x:f>
      </x:c>
      <x:c r="D93" s="18" t="str">
        <x:f>IF($A93="","",INDEX('Master Plan'!$D$7:$D$247,MATCH($A93,'Master Plan'!$A$7:$A$247,0)))</x:f>
      </x:c>
      <x:c r="E93" s="23" t="str">
        <x:f>IF($A93="","",INDEX('Master Plan'!$E$7:$E$247,MATCH($A93,'Master Plan'!$A$7:$A$247,0)))</x:f>
      </x:c>
      <x:c r="F93" s="23" t="str">
        <x:f>IF($A93="","",INDEX('Master Plan'!$F$7:$F$247,MATCH($A93,'Master Plan'!$A$7:$A$247,0)))</x:f>
      </x:c>
      <x:c r="G93" s="23" t="str">
        <x:f>IF($A93="","",INDEX('Master Plan'!$G$7:$G$247,MATCH($A93,'Master Plan'!$A$7:$A$247,0)))</x:f>
      </x:c>
      <x:c r="H93" s="23" t="str">
        <x:f>IF($A93="","",INDEX('Master Plan'!$H$7:$H$247,MATCH($A93,'Master Plan'!$A$7:$A$247,0)))</x:f>
      </x:c>
      <x:c r="I93" s="27" t="str">
        <x:f>IF($A93="","",INDEX('Master Plan'!$I$7:$I$247,MATCH($A93,'Master Plan'!$A$7:$A$247,0)))</x:f>
      </x:c>
      <x:c r="J93" s="27" t="str">
        <x:f>IF($A93="","",INDEX('Master Plan'!$J$7:$J$247,MATCH($A93,'Master Plan'!$A$7:$A$247,0)))</x:f>
      </x:c>
      <x:c r="K93" s="27" t="str">
        <x:f>IF($A93="","",INDEX('Master Plan'!$K$7:$K$247,MATCH($A93,'Master Plan'!$A$7:$A$247,0)))</x:f>
      </x:c>
    </x:row>
    <x:row r="94" ht="25" customHeight="1">
      <x:c r="A94" s="21" t="str">
        <x:f>IF(ROWS($A$8:A94)&gt;COUNT('Master Plan'!$P$7:$P$247),"",INDEX('Master Plan'!$A$7:$A$247,MATCH(ROWS($A$8:A94),'Master Plan'!$P$7:$P$247,0)))</x:f>
      </x:c>
      <x:c r="B94" s="18" t="str">
        <x:f>IF($A94="","",INDEX('Master Plan'!$B$7:$B$247,MATCH($A94,'Master Plan'!$A$7:$A$247,0)))</x:f>
      </x:c>
      <x:c r="C94" s="18" t="str">
        <x:f>IF($A94="","",INDEX('Master Plan'!$C$7:$C$247,MATCH($A94,'Master Plan'!$A$7:$A$247,0)))</x:f>
      </x:c>
      <x:c r="D94" s="18" t="str">
        <x:f>IF($A94="","",INDEX('Master Plan'!$D$7:$D$247,MATCH($A94,'Master Plan'!$A$7:$A$247,0)))</x:f>
      </x:c>
      <x:c r="E94" s="23" t="str">
        <x:f>IF($A94="","",INDEX('Master Plan'!$E$7:$E$247,MATCH($A94,'Master Plan'!$A$7:$A$247,0)))</x:f>
      </x:c>
      <x:c r="F94" s="23" t="str">
        <x:f>IF($A94="","",INDEX('Master Plan'!$F$7:$F$247,MATCH($A94,'Master Plan'!$A$7:$A$247,0)))</x:f>
      </x:c>
      <x:c r="G94" s="23" t="str">
        <x:f>IF($A94="","",INDEX('Master Plan'!$G$7:$G$247,MATCH($A94,'Master Plan'!$A$7:$A$247,0)))</x:f>
      </x:c>
      <x:c r="H94" s="23" t="str">
        <x:f>IF($A94="","",INDEX('Master Plan'!$H$7:$H$247,MATCH($A94,'Master Plan'!$A$7:$A$247,0)))</x:f>
      </x:c>
      <x:c r="I94" s="27" t="str">
        <x:f>IF($A94="","",INDEX('Master Plan'!$I$7:$I$247,MATCH($A94,'Master Plan'!$A$7:$A$247,0)))</x:f>
      </x:c>
      <x:c r="J94" s="27" t="str">
        <x:f>IF($A94="","",INDEX('Master Plan'!$J$7:$J$247,MATCH($A94,'Master Plan'!$A$7:$A$247,0)))</x:f>
      </x:c>
      <x:c r="K94" s="27" t="str">
        <x:f>IF($A94="","",INDEX('Master Plan'!$K$7:$K$247,MATCH($A94,'Master Plan'!$A$7:$A$247,0)))</x:f>
      </x:c>
    </x:row>
    <x:row r="95" ht="25" customHeight="1">
      <x:c r="A95" s="21" t="str">
        <x:f>IF(ROWS($A$8:A95)&gt;COUNT('Master Plan'!$P$7:$P$247),"",INDEX('Master Plan'!$A$7:$A$247,MATCH(ROWS($A$8:A95),'Master Plan'!$P$7:$P$247,0)))</x:f>
      </x:c>
      <x:c r="B95" s="18" t="str">
        <x:f>IF($A95="","",INDEX('Master Plan'!$B$7:$B$247,MATCH($A95,'Master Plan'!$A$7:$A$247,0)))</x:f>
      </x:c>
      <x:c r="C95" s="18" t="str">
        <x:f>IF($A95="","",INDEX('Master Plan'!$C$7:$C$247,MATCH($A95,'Master Plan'!$A$7:$A$247,0)))</x:f>
      </x:c>
      <x:c r="D95" s="18" t="str">
        <x:f>IF($A95="","",INDEX('Master Plan'!$D$7:$D$247,MATCH($A95,'Master Plan'!$A$7:$A$247,0)))</x:f>
      </x:c>
      <x:c r="E95" s="23" t="str">
        <x:f>IF($A95="","",INDEX('Master Plan'!$E$7:$E$247,MATCH($A95,'Master Plan'!$A$7:$A$247,0)))</x:f>
      </x:c>
      <x:c r="F95" s="23" t="str">
        <x:f>IF($A95="","",INDEX('Master Plan'!$F$7:$F$247,MATCH($A95,'Master Plan'!$A$7:$A$247,0)))</x:f>
      </x:c>
      <x:c r="G95" s="23" t="str">
        <x:f>IF($A95="","",INDEX('Master Plan'!$G$7:$G$247,MATCH($A95,'Master Plan'!$A$7:$A$247,0)))</x:f>
      </x:c>
      <x:c r="H95" s="23" t="str">
        <x:f>IF($A95="","",INDEX('Master Plan'!$H$7:$H$247,MATCH($A95,'Master Plan'!$A$7:$A$247,0)))</x:f>
      </x:c>
      <x:c r="I95" s="27" t="str">
        <x:f>IF($A95="","",INDEX('Master Plan'!$I$7:$I$247,MATCH($A95,'Master Plan'!$A$7:$A$247,0)))</x:f>
      </x:c>
      <x:c r="J95" s="27" t="str">
        <x:f>IF($A95="","",INDEX('Master Plan'!$J$7:$J$247,MATCH($A95,'Master Plan'!$A$7:$A$247,0)))</x:f>
      </x:c>
      <x:c r="K95" s="27" t="str">
        <x:f>IF($A95="","",INDEX('Master Plan'!$K$7:$K$247,MATCH($A95,'Master Plan'!$A$7:$A$247,0)))</x:f>
      </x:c>
    </x:row>
    <x:row r="96" ht="25" customHeight="1">
      <x:c r="A96" s="21" t="str">
        <x:f>IF(ROWS($A$8:A96)&gt;COUNT('Master Plan'!$P$7:$P$247),"",INDEX('Master Plan'!$A$7:$A$247,MATCH(ROWS($A$8:A96),'Master Plan'!$P$7:$P$247,0)))</x:f>
      </x:c>
      <x:c r="B96" s="18" t="str">
        <x:f>IF($A96="","",INDEX('Master Plan'!$B$7:$B$247,MATCH($A96,'Master Plan'!$A$7:$A$247,0)))</x:f>
      </x:c>
      <x:c r="C96" s="18" t="str">
        <x:f>IF($A96="","",INDEX('Master Plan'!$C$7:$C$247,MATCH($A96,'Master Plan'!$A$7:$A$247,0)))</x:f>
      </x:c>
      <x:c r="D96" s="18" t="str">
        <x:f>IF($A96="","",INDEX('Master Plan'!$D$7:$D$247,MATCH($A96,'Master Plan'!$A$7:$A$247,0)))</x:f>
      </x:c>
      <x:c r="E96" s="23" t="str">
        <x:f>IF($A96="","",INDEX('Master Plan'!$E$7:$E$247,MATCH($A96,'Master Plan'!$A$7:$A$247,0)))</x:f>
      </x:c>
      <x:c r="F96" s="23" t="str">
        <x:f>IF($A96="","",INDEX('Master Plan'!$F$7:$F$247,MATCH($A96,'Master Plan'!$A$7:$A$247,0)))</x:f>
      </x:c>
      <x:c r="G96" s="23" t="str">
        <x:f>IF($A96="","",INDEX('Master Plan'!$G$7:$G$247,MATCH($A96,'Master Plan'!$A$7:$A$247,0)))</x:f>
      </x:c>
      <x:c r="H96" s="23" t="str">
        <x:f>IF($A96="","",INDEX('Master Plan'!$H$7:$H$247,MATCH($A96,'Master Plan'!$A$7:$A$247,0)))</x:f>
      </x:c>
      <x:c r="I96" s="27" t="str">
        <x:f>IF($A96="","",INDEX('Master Plan'!$I$7:$I$247,MATCH($A96,'Master Plan'!$A$7:$A$247,0)))</x:f>
      </x:c>
      <x:c r="J96" s="27" t="str">
        <x:f>IF($A96="","",INDEX('Master Plan'!$J$7:$J$247,MATCH($A96,'Master Plan'!$A$7:$A$247,0)))</x:f>
      </x:c>
      <x:c r="K96" s="27" t="str">
        <x:f>IF($A96="","",INDEX('Master Plan'!$K$7:$K$247,MATCH($A96,'Master Plan'!$A$7:$A$247,0)))</x:f>
      </x:c>
    </x:row>
    <x:row r="97" ht="25" customHeight="1">
      <x:c r="A97" s="21" t="str">
        <x:f>IF(ROWS($A$8:A97)&gt;COUNT('Master Plan'!$P$7:$P$247),"",INDEX('Master Plan'!$A$7:$A$247,MATCH(ROWS($A$8:A97),'Master Plan'!$P$7:$P$247,0)))</x:f>
      </x:c>
      <x:c r="B97" s="18" t="str">
        <x:f>IF($A97="","",INDEX('Master Plan'!$B$7:$B$247,MATCH($A97,'Master Plan'!$A$7:$A$247,0)))</x:f>
      </x:c>
      <x:c r="C97" s="18" t="str">
        <x:f>IF($A97="","",INDEX('Master Plan'!$C$7:$C$247,MATCH($A97,'Master Plan'!$A$7:$A$247,0)))</x:f>
      </x:c>
      <x:c r="D97" s="18" t="str">
        <x:f>IF($A97="","",INDEX('Master Plan'!$D$7:$D$247,MATCH($A97,'Master Plan'!$A$7:$A$247,0)))</x:f>
      </x:c>
      <x:c r="E97" s="23" t="str">
        <x:f>IF($A97="","",INDEX('Master Plan'!$E$7:$E$247,MATCH($A97,'Master Plan'!$A$7:$A$247,0)))</x:f>
      </x:c>
      <x:c r="F97" s="23" t="str">
        <x:f>IF($A97="","",INDEX('Master Plan'!$F$7:$F$247,MATCH($A97,'Master Plan'!$A$7:$A$247,0)))</x:f>
      </x:c>
      <x:c r="G97" s="23" t="str">
        <x:f>IF($A97="","",INDEX('Master Plan'!$G$7:$G$247,MATCH($A97,'Master Plan'!$A$7:$A$247,0)))</x:f>
      </x:c>
      <x:c r="H97" s="23" t="str">
        <x:f>IF($A97="","",INDEX('Master Plan'!$H$7:$H$247,MATCH($A97,'Master Plan'!$A$7:$A$247,0)))</x:f>
      </x:c>
      <x:c r="I97" s="27" t="str">
        <x:f>IF($A97="","",INDEX('Master Plan'!$I$7:$I$247,MATCH($A97,'Master Plan'!$A$7:$A$247,0)))</x:f>
      </x:c>
      <x:c r="J97" s="27" t="str">
        <x:f>IF($A97="","",INDEX('Master Plan'!$J$7:$J$247,MATCH($A97,'Master Plan'!$A$7:$A$247,0)))</x:f>
      </x:c>
      <x:c r="K97" s="27" t="str">
        <x:f>IF($A97="","",INDEX('Master Plan'!$K$7:$K$247,MATCH($A97,'Master Plan'!$A$7:$A$247,0)))</x:f>
      </x:c>
    </x:row>
    <x:row r="98" ht="25" customHeight="1">
      <x:c r="A98" s="21" t="str">
        <x:f>IF(ROWS($A$8:A98)&gt;COUNT('Master Plan'!$P$7:$P$247),"",INDEX('Master Plan'!$A$7:$A$247,MATCH(ROWS($A$8:A98),'Master Plan'!$P$7:$P$247,0)))</x:f>
      </x:c>
      <x:c r="B98" s="18" t="str">
        <x:f>IF($A98="","",INDEX('Master Plan'!$B$7:$B$247,MATCH($A98,'Master Plan'!$A$7:$A$247,0)))</x:f>
      </x:c>
      <x:c r="C98" s="18" t="str">
        <x:f>IF($A98="","",INDEX('Master Plan'!$C$7:$C$247,MATCH($A98,'Master Plan'!$A$7:$A$247,0)))</x:f>
      </x:c>
      <x:c r="D98" s="18" t="str">
        <x:f>IF($A98="","",INDEX('Master Plan'!$D$7:$D$247,MATCH($A98,'Master Plan'!$A$7:$A$247,0)))</x:f>
      </x:c>
      <x:c r="E98" s="23" t="str">
        <x:f>IF($A98="","",INDEX('Master Plan'!$E$7:$E$247,MATCH($A98,'Master Plan'!$A$7:$A$247,0)))</x:f>
      </x:c>
      <x:c r="F98" s="23" t="str">
        <x:f>IF($A98="","",INDEX('Master Plan'!$F$7:$F$247,MATCH($A98,'Master Plan'!$A$7:$A$247,0)))</x:f>
      </x:c>
      <x:c r="G98" s="23" t="str">
        <x:f>IF($A98="","",INDEX('Master Plan'!$G$7:$G$247,MATCH($A98,'Master Plan'!$A$7:$A$247,0)))</x:f>
      </x:c>
      <x:c r="H98" s="23" t="str">
        <x:f>IF($A98="","",INDEX('Master Plan'!$H$7:$H$247,MATCH($A98,'Master Plan'!$A$7:$A$247,0)))</x:f>
      </x:c>
      <x:c r="I98" s="27" t="str">
        <x:f>IF($A98="","",INDEX('Master Plan'!$I$7:$I$247,MATCH($A98,'Master Plan'!$A$7:$A$247,0)))</x:f>
      </x:c>
      <x:c r="J98" s="27" t="str">
        <x:f>IF($A98="","",INDEX('Master Plan'!$J$7:$J$247,MATCH($A98,'Master Plan'!$A$7:$A$247,0)))</x:f>
      </x:c>
      <x:c r="K98" s="27" t="str">
        <x:f>IF($A98="","",INDEX('Master Plan'!$K$7:$K$247,MATCH($A98,'Master Plan'!$A$7:$A$247,0)))</x:f>
      </x:c>
    </x:row>
    <x:row r="99" ht="25" customHeight="1">
      <x:c r="A99" s="21" t="str">
        <x:f>IF(ROWS($A$8:A99)&gt;COUNT('Master Plan'!$P$7:$P$247),"",INDEX('Master Plan'!$A$7:$A$247,MATCH(ROWS($A$8:A99),'Master Plan'!$P$7:$P$247,0)))</x:f>
      </x:c>
      <x:c r="B99" s="18" t="str">
        <x:f>IF($A99="","",INDEX('Master Plan'!$B$7:$B$247,MATCH($A99,'Master Plan'!$A$7:$A$247,0)))</x:f>
      </x:c>
      <x:c r="C99" s="18" t="str">
        <x:f>IF($A99="","",INDEX('Master Plan'!$C$7:$C$247,MATCH($A99,'Master Plan'!$A$7:$A$247,0)))</x:f>
      </x:c>
      <x:c r="D99" s="18" t="str">
        <x:f>IF($A99="","",INDEX('Master Plan'!$D$7:$D$247,MATCH($A99,'Master Plan'!$A$7:$A$247,0)))</x:f>
      </x:c>
      <x:c r="E99" s="23" t="str">
        <x:f>IF($A99="","",INDEX('Master Plan'!$E$7:$E$247,MATCH($A99,'Master Plan'!$A$7:$A$247,0)))</x:f>
      </x:c>
      <x:c r="F99" s="23" t="str">
        <x:f>IF($A99="","",INDEX('Master Plan'!$F$7:$F$247,MATCH($A99,'Master Plan'!$A$7:$A$247,0)))</x:f>
      </x:c>
      <x:c r="G99" s="23" t="str">
        <x:f>IF($A99="","",INDEX('Master Plan'!$G$7:$G$247,MATCH($A99,'Master Plan'!$A$7:$A$247,0)))</x:f>
      </x:c>
      <x:c r="H99" s="23" t="str">
        <x:f>IF($A99="","",INDEX('Master Plan'!$H$7:$H$247,MATCH($A99,'Master Plan'!$A$7:$A$247,0)))</x:f>
      </x:c>
      <x:c r="I99" s="27" t="str">
        <x:f>IF($A99="","",INDEX('Master Plan'!$I$7:$I$247,MATCH($A99,'Master Plan'!$A$7:$A$247,0)))</x:f>
      </x:c>
      <x:c r="J99" s="27" t="str">
        <x:f>IF($A99="","",INDEX('Master Plan'!$J$7:$J$247,MATCH($A99,'Master Plan'!$A$7:$A$247,0)))</x:f>
      </x:c>
      <x:c r="K99" s="27" t="str">
        <x:f>IF($A99="","",INDEX('Master Plan'!$K$7:$K$247,MATCH($A99,'Master Plan'!$A$7:$A$247,0)))</x:f>
      </x:c>
    </x:row>
    <x:row r="100" ht="25" customHeight="1">
      <x:c r="A100" s="21" t="str">
        <x:f>IF(ROWS($A$8:A100)&gt;COUNT('Master Plan'!$P$7:$P$247),"",INDEX('Master Plan'!$A$7:$A$247,MATCH(ROWS($A$8:A100),'Master Plan'!$P$7:$P$247,0)))</x:f>
      </x:c>
      <x:c r="B100" s="18" t="str">
        <x:f>IF($A100="","",INDEX('Master Plan'!$B$7:$B$247,MATCH($A100,'Master Plan'!$A$7:$A$247,0)))</x:f>
      </x:c>
      <x:c r="C100" s="18" t="str">
        <x:f>IF($A100="","",INDEX('Master Plan'!$C$7:$C$247,MATCH($A100,'Master Plan'!$A$7:$A$247,0)))</x:f>
      </x:c>
      <x:c r="D100" s="18" t="str">
        <x:f>IF($A100="","",INDEX('Master Plan'!$D$7:$D$247,MATCH($A100,'Master Plan'!$A$7:$A$247,0)))</x:f>
      </x:c>
      <x:c r="E100" s="23" t="str">
        <x:f>IF($A100="","",INDEX('Master Plan'!$E$7:$E$247,MATCH($A100,'Master Plan'!$A$7:$A$247,0)))</x:f>
      </x:c>
      <x:c r="F100" s="23" t="str">
        <x:f>IF($A100="","",INDEX('Master Plan'!$F$7:$F$247,MATCH($A100,'Master Plan'!$A$7:$A$247,0)))</x:f>
      </x:c>
      <x:c r="G100" s="23" t="str">
        <x:f>IF($A100="","",INDEX('Master Plan'!$G$7:$G$247,MATCH($A100,'Master Plan'!$A$7:$A$247,0)))</x:f>
      </x:c>
      <x:c r="H100" s="23" t="str">
        <x:f>IF($A100="","",INDEX('Master Plan'!$H$7:$H$247,MATCH($A100,'Master Plan'!$A$7:$A$247,0)))</x:f>
      </x:c>
      <x:c r="I100" s="27" t="str">
        <x:f>IF($A100="","",INDEX('Master Plan'!$I$7:$I$247,MATCH($A100,'Master Plan'!$A$7:$A$247,0)))</x:f>
      </x:c>
      <x:c r="J100" s="27" t="str">
        <x:f>IF($A100="","",INDEX('Master Plan'!$J$7:$J$247,MATCH($A100,'Master Plan'!$A$7:$A$247,0)))</x:f>
      </x:c>
      <x:c r="K100" s="27" t="str">
        <x:f>IF($A100="","",INDEX('Master Plan'!$K$7:$K$247,MATCH($A100,'Master Plan'!$A$7:$A$247,0)))</x:f>
      </x:c>
    </x:row>
    <x:row r="101" ht="25" customHeight="1">
      <x:c r="A101" s="21" t="str">
        <x:f>IF(ROWS($A$8:A101)&gt;COUNT('Master Plan'!$P$7:$P$247),"",INDEX('Master Plan'!$A$7:$A$247,MATCH(ROWS($A$8:A101),'Master Plan'!$P$7:$P$247,0)))</x:f>
      </x:c>
      <x:c r="B101" s="18" t="str">
        <x:f>IF($A101="","",INDEX('Master Plan'!$B$7:$B$247,MATCH($A101,'Master Plan'!$A$7:$A$247,0)))</x:f>
      </x:c>
      <x:c r="C101" s="18" t="str">
        <x:f>IF($A101="","",INDEX('Master Plan'!$C$7:$C$247,MATCH($A101,'Master Plan'!$A$7:$A$247,0)))</x:f>
      </x:c>
      <x:c r="D101" s="18" t="str">
        <x:f>IF($A101="","",INDEX('Master Plan'!$D$7:$D$247,MATCH($A101,'Master Plan'!$A$7:$A$247,0)))</x:f>
      </x:c>
      <x:c r="E101" s="23" t="str">
        <x:f>IF($A101="","",INDEX('Master Plan'!$E$7:$E$247,MATCH($A101,'Master Plan'!$A$7:$A$247,0)))</x:f>
      </x:c>
      <x:c r="F101" s="23" t="str">
        <x:f>IF($A101="","",INDEX('Master Plan'!$F$7:$F$247,MATCH($A101,'Master Plan'!$A$7:$A$247,0)))</x:f>
      </x:c>
      <x:c r="G101" s="23" t="str">
        <x:f>IF($A101="","",INDEX('Master Plan'!$G$7:$G$247,MATCH($A101,'Master Plan'!$A$7:$A$247,0)))</x:f>
      </x:c>
      <x:c r="H101" s="23" t="str">
        <x:f>IF($A101="","",INDEX('Master Plan'!$H$7:$H$247,MATCH($A101,'Master Plan'!$A$7:$A$247,0)))</x:f>
      </x:c>
      <x:c r="I101" s="27" t="str">
        <x:f>IF($A101="","",INDEX('Master Plan'!$I$7:$I$247,MATCH($A101,'Master Plan'!$A$7:$A$247,0)))</x:f>
      </x:c>
      <x:c r="J101" s="27" t="str">
        <x:f>IF($A101="","",INDEX('Master Plan'!$J$7:$J$247,MATCH($A101,'Master Plan'!$A$7:$A$247,0)))</x:f>
      </x:c>
      <x:c r="K101" s="27" t="str">
        <x:f>IF($A101="","",INDEX('Master Plan'!$K$7:$K$247,MATCH($A101,'Master Plan'!$A$7:$A$247,0)))</x:f>
      </x:c>
    </x:row>
    <x:row r="102" ht="25" customHeight="1">
      <x:c r="A102" s="21" t="str">
        <x:f>IF(ROWS($A$8:A102)&gt;COUNT('Master Plan'!$P$7:$P$247),"",INDEX('Master Plan'!$A$7:$A$247,MATCH(ROWS($A$8:A102),'Master Plan'!$P$7:$P$247,0)))</x:f>
      </x:c>
      <x:c r="B102" s="18" t="str">
        <x:f>IF($A102="","",INDEX('Master Plan'!$B$7:$B$247,MATCH($A102,'Master Plan'!$A$7:$A$247,0)))</x:f>
      </x:c>
      <x:c r="C102" s="18" t="str">
        <x:f>IF($A102="","",INDEX('Master Plan'!$C$7:$C$247,MATCH($A102,'Master Plan'!$A$7:$A$247,0)))</x:f>
      </x:c>
      <x:c r="D102" s="18" t="str">
        <x:f>IF($A102="","",INDEX('Master Plan'!$D$7:$D$247,MATCH($A102,'Master Plan'!$A$7:$A$247,0)))</x:f>
      </x:c>
      <x:c r="E102" s="23" t="str">
        <x:f>IF($A102="","",INDEX('Master Plan'!$E$7:$E$247,MATCH($A102,'Master Plan'!$A$7:$A$247,0)))</x:f>
      </x:c>
      <x:c r="F102" s="23" t="str">
        <x:f>IF($A102="","",INDEX('Master Plan'!$F$7:$F$247,MATCH($A102,'Master Plan'!$A$7:$A$247,0)))</x:f>
      </x:c>
      <x:c r="G102" s="23" t="str">
        <x:f>IF($A102="","",INDEX('Master Plan'!$G$7:$G$247,MATCH($A102,'Master Plan'!$A$7:$A$247,0)))</x:f>
      </x:c>
      <x:c r="H102" s="23" t="str">
        <x:f>IF($A102="","",INDEX('Master Plan'!$H$7:$H$247,MATCH($A102,'Master Plan'!$A$7:$A$247,0)))</x:f>
      </x:c>
      <x:c r="I102" s="27" t="str">
        <x:f>IF($A102="","",INDEX('Master Plan'!$I$7:$I$247,MATCH($A102,'Master Plan'!$A$7:$A$247,0)))</x:f>
      </x:c>
      <x:c r="J102" s="27" t="str">
        <x:f>IF($A102="","",INDEX('Master Plan'!$J$7:$J$247,MATCH($A102,'Master Plan'!$A$7:$A$247,0)))</x:f>
      </x:c>
      <x:c r="K102" s="27" t="str">
        <x:f>IF($A102="","",INDEX('Master Plan'!$K$7:$K$247,MATCH($A102,'Master Plan'!$A$7:$A$247,0)))</x:f>
      </x:c>
    </x:row>
    <x:row r="103" ht="25" customHeight="1">
      <x:c r="A103" s="21" t="str">
        <x:f>IF(ROWS($A$8:A103)&gt;COUNT('Master Plan'!$P$7:$P$247),"",INDEX('Master Plan'!$A$7:$A$247,MATCH(ROWS($A$8:A103),'Master Plan'!$P$7:$P$247,0)))</x:f>
      </x:c>
      <x:c r="B103" s="18" t="str">
        <x:f>IF($A103="","",INDEX('Master Plan'!$B$7:$B$247,MATCH($A103,'Master Plan'!$A$7:$A$247,0)))</x:f>
      </x:c>
      <x:c r="C103" s="18" t="str">
        <x:f>IF($A103="","",INDEX('Master Plan'!$C$7:$C$247,MATCH($A103,'Master Plan'!$A$7:$A$247,0)))</x:f>
      </x:c>
      <x:c r="D103" s="18" t="str">
        <x:f>IF($A103="","",INDEX('Master Plan'!$D$7:$D$247,MATCH($A103,'Master Plan'!$A$7:$A$247,0)))</x:f>
      </x:c>
      <x:c r="E103" s="23" t="str">
        <x:f>IF($A103="","",INDEX('Master Plan'!$E$7:$E$247,MATCH($A103,'Master Plan'!$A$7:$A$247,0)))</x:f>
      </x:c>
      <x:c r="F103" s="23" t="str">
        <x:f>IF($A103="","",INDEX('Master Plan'!$F$7:$F$247,MATCH($A103,'Master Plan'!$A$7:$A$247,0)))</x:f>
      </x:c>
      <x:c r="G103" s="23" t="str">
        <x:f>IF($A103="","",INDEX('Master Plan'!$G$7:$G$247,MATCH($A103,'Master Plan'!$A$7:$A$247,0)))</x:f>
      </x:c>
      <x:c r="H103" s="23" t="str">
        <x:f>IF($A103="","",INDEX('Master Plan'!$H$7:$H$247,MATCH($A103,'Master Plan'!$A$7:$A$247,0)))</x:f>
      </x:c>
      <x:c r="I103" s="27" t="str">
        <x:f>IF($A103="","",INDEX('Master Plan'!$I$7:$I$247,MATCH($A103,'Master Plan'!$A$7:$A$247,0)))</x:f>
      </x:c>
      <x:c r="J103" s="27" t="str">
        <x:f>IF($A103="","",INDEX('Master Plan'!$J$7:$J$247,MATCH($A103,'Master Plan'!$A$7:$A$247,0)))</x:f>
      </x:c>
      <x:c r="K103" s="27" t="str">
        <x:f>IF($A103="","",INDEX('Master Plan'!$K$7:$K$247,MATCH($A103,'Master Plan'!$A$7:$A$247,0)))</x:f>
      </x:c>
    </x:row>
    <x:row r="104" ht="25" customHeight="1">
      <x:c r="A104" s="21" t="str">
        <x:f>IF(ROWS($A$8:A104)&gt;COUNT('Master Plan'!$P$7:$P$247),"",INDEX('Master Plan'!$A$7:$A$247,MATCH(ROWS($A$8:A104),'Master Plan'!$P$7:$P$247,0)))</x:f>
      </x:c>
      <x:c r="B104" s="18" t="str">
        <x:f>IF($A104="","",INDEX('Master Plan'!$B$7:$B$247,MATCH($A104,'Master Plan'!$A$7:$A$247,0)))</x:f>
      </x:c>
      <x:c r="C104" s="18" t="str">
        <x:f>IF($A104="","",INDEX('Master Plan'!$C$7:$C$247,MATCH($A104,'Master Plan'!$A$7:$A$247,0)))</x:f>
      </x:c>
      <x:c r="D104" s="18" t="str">
        <x:f>IF($A104="","",INDEX('Master Plan'!$D$7:$D$247,MATCH($A104,'Master Plan'!$A$7:$A$247,0)))</x:f>
      </x:c>
      <x:c r="E104" s="23" t="str">
        <x:f>IF($A104="","",INDEX('Master Plan'!$E$7:$E$247,MATCH($A104,'Master Plan'!$A$7:$A$247,0)))</x:f>
      </x:c>
      <x:c r="F104" s="23" t="str">
        <x:f>IF($A104="","",INDEX('Master Plan'!$F$7:$F$247,MATCH($A104,'Master Plan'!$A$7:$A$247,0)))</x:f>
      </x:c>
      <x:c r="G104" s="23" t="str">
        <x:f>IF($A104="","",INDEX('Master Plan'!$G$7:$G$247,MATCH($A104,'Master Plan'!$A$7:$A$247,0)))</x:f>
      </x:c>
      <x:c r="H104" s="23" t="str">
        <x:f>IF($A104="","",INDEX('Master Plan'!$H$7:$H$247,MATCH($A104,'Master Plan'!$A$7:$A$247,0)))</x:f>
      </x:c>
      <x:c r="I104" s="27" t="str">
        <x:f>IF($A104="","",INDEX('Master Plan'!$I$7:$I$247,MATCH($A104,'Master Plan'!$A$7:$A$247,0)))</x:f>
      </x:c>
      <x:c r="J104" s="27" t="str">
        <x:f>IF($A104="","",INDEX('Master Plan'!$J$7:$J$247,MATCH($A104,'Master Plan'!$A$7:$A$247,0)))</x:f>
      </x:c>
      <x:c r="K104" s="27" t="str">
        <x:f>IF($A104="","",INDEX('Master Plan'!$K$7:$K$247,MATCH($A104,'Master Plan'!$A$7:$A$247,0)))</x:f>
      </x:c>
    </x:row>
    <x:row r="105" ht="25" customHeight="1">
      <x:c r="A105" s="21" t="str">
        <x:f>IF(ROWS($A$8:A105)&gt;COUNT('Master Plan'!$P$7:$P$247),"",INDEX('Master Plan'!$A$7:$A$247,MATCH(ROWS($A$8:A105),'Master Plan'!$P$7:$P$247,0)))</x:f>
      </x:c>
      <x:c r="B105" s="18" t="str">
        <x:f>IF($A105="","",INDEX('Master Plan'!$B$7:$B$247,MATCH($A105,'Master Plan'!$A$7:$A$247,0)))</x:f>
      </x:c>
      <x:c r="C105" s="18" t="str">
        <x:f>IF($A105="","",INDEX('Master Plan'!$C$7:$C$247,MATCH($A105,'Master Plan'!$A$7:$A$247,0)))</x:f>
      </x:c>
      <x:c r="D105" s="18" t="str">
        <x:f>IF($A105="","",INDEX('Master Plan'!$D$7:$D$247,MATCH($A105,'Master Plan'!$A$7:$A$247,0)))</x:f>
      </x:c>
      <x:c r="E105" s="23" t="str">
        <x:f>IF($A105="","",INDEX('Master Plan'!$E$7:$E$247,MATCH($A105,'Master Plan'!$A$7:$A$247,0)))</x:f>
      </x:c>
      <x:c r="F105" s="23" t="str">
        <x:f>IF($A105="","",INDEX('Master Plan'!$F$7:$F$247,MATCH($A105,'Master Plan'!$A$7:$A$247,0)))</x:f>
      </x:c>
      <x:c r="G105" s="23" t="str">
        <x:f>IF($A105="","",INDEX('Master Plan'!$G$7:$G$247,MATCH($A105,'Master Plan'!$A$7:$A$247,0)))</x:f>
      </x:c>
      <x:c r="H105" s="23" t="str">
        <x:f>IF($A105="","",INDEX('Master Plan'!$H$7:$H$247,MATCH($A105,'Master Plan'!$A$7:$A$247,0)))</x:f>
      </x:c>
      <x:c r="I105" s="27" t="str">
        <x:f>IF($A105="","",INDEX('Master Plan'!$I$7:$I$247,MATCH($A105,'Master Plan'!$A$7:$A$247,0)))</x:f>
      </x:c>
      <x:c r="J105" s="27" t="str">
        <x:f>IF($A105="","",INDEX('Master Plan'!$J$7:$J$247,MATCH($A105,'Master Plan'!$A$7:$A$247,0)))</x:f>
      </x:c>
      <x:c r="K105" s="27" t="str">
        <x:f>IF($A105="","",INDEX('Master Plan'!$K$7:$K$247,MATCH($A105,'Master Plan'!$A$7:$A$247,0)))</x:f>
      </x:c>
    </x:row>
    <x:row r="106" ht="25" customHeight="1">
      <x:c r="A106" s="21" t="str">
        <x:f>IF(ROWS($A$8:A106)&gt;COUNT('Master Plan'!$P$7:$P$247),"",INDEX('Master Plan'!$A$7:$A$247,MATCH(ROWS($A$8:A106),'Master Plan'!$P$7:$P$247,0)))</x:f>
      </x:c>
      <x:c r="B106" s="18" t="str">
        <x:f>IF($A106="","",INDEX('Master Plan'!$B$7:$B$247,MATCH($A106,'Master Plan'!$A$7:$A$247,0)))</x:f>
      </x:c>
      <x:c r="C106" s="18" t="str">
        <x:f>IF($A106="","",INDEX('Master Plan'!$C$7:$C$247,MATCH($A106,'Master Plan'!$A$7:$A$247,0)))</x:f>
      </x:c>
      <x:c r="D106" s="18" t="str">
        <x:f>IF($A106="","",INDEX('Master Plan'!$D$7:$D$247,MATCH($A106,'Master Plan'!$A$7:$A$247,0)))</x:f>
      </x:c>
      <x:c r="E106" s="23" t="str">
        <x:f>IF($A106="","",INDEX('Master Plan'!$E$7:$E$247,MATCH($A106,'Master Plan'!$A$7:$A$247,0)))</x:f>
      </x:c>
      <x:c r="F106" s="23" t="str">
        <x:f>IF($A106="","",INDEX('Master Plan'!$F$7:$F$247,MATCH($A106,'Master Plan'!$A$7:$A$247,0)))</x:f>
      </x:c>
      <x:c r="G106" s="23" t="str">
        <x:f>IF($A106="","",INDEX('Master Plan'!$G$7:$G$247,MATCH($A106,'Master Plan'!$A$7:$A$247,0)))</x:f>
      </x:c>
      <x:c r="H106" s="23" t="str">
        <x:f>IF($A106="","",INDEX('Master Plan'!$H$7:$H$247,MATCH($A106,'Master Plan'!$A$7:$A$247,0)))</x:f>
      </x:c>
      <x:c r="I106" s="27" t="str">
        <x:f>IF($A106="","",INDEX('Master Plan'!$I$7:$I$247,MATCH($A106,'Master Plan'!$A$7:$A$247,0)))</x:f>
      </x:c>
      <x:c r="J106" s="27" t="str">
        <x:f>IF($A106="","",INDEX('Master Plan'!$J$7:$J$247,MATCH($A106,'Master Plan'!$A$7:$A$247,0)))</x:f>
      </x:c>
      <x:c r="K106" s="27" t="str">
        <x:f>IF($A106="","",INDEX('Master Plan'!$K$7:$K$247,MATCH($A106,'Master Plan'!$A$7:$A$247,0)))</x:f>
      </x:c>
    </x:row>
    <x:row r="107" ht="25" customHeight="1">
      <x:c r="A107" s="21" t="str">
        <x:f>IF(ROWS($A$8:A107)&gt;COUNT('Master Plan'!$P$7:$P$247),"",INDEX('Master Plan'!$A$7:$A$247,MATCH(ROWS($A$8:A107),'Master Plan'!$P$7:$P$247,0)))</x:f>
      </x:c>
      <x:c r="B107" s="18" t="str">
        <x:f>IF($A107="","",INDEX('Master Plan'!$B$7:$B$247,MATCH($A107,'Master Plan'!$A$7:$A$247,0)))</x:f>
      </x:c>
      <x:c r="C107" s="18" t="str">
        <x:f>IF($A107="","",INDEX('Master Plan'!$C$7:$C$247,MATCH($A107,'Master Plan'!$A$7:$A$247,0)))</x:f>
      </x:c>
      <x:c r="D107" s="18" t="str">
        <x:f>IF($A107="","",INDEX('Master Plan'!$D$7:$D$247,MATCH($A107,'Master Plan'!$A$7:$A$247,0)))</x:f>
      </x:c>
      <x:c r="E107" s="23" t="str">
        <x:f>IF($A107="","",INDEX('Master Plan'!$E$7:$E$247,MATCH($A107,'Master Plan'!$A$7:$A$247,0)))</x:f>
      </x:c>
      <x:c r="F107" s="23" t="str">
        <x:f>IF($A107="","",INDEX('Master Plan'!$F$7:$F$247,MATCH($A107,'Master Plan'!$A$7:$A$247,0)))</x:f>
      </x:c>
      <x:c r="G107" s="23" t="str">
        <x:f>IF($A107="","",INDEX('Master Plan'!$G$7:$G$247,MATCH($A107,'Master Plan'!$A$7:$A$247,0)))</x:f>
      </x:c>
      <x:c r="H107" s="23" t="str">
        <x:f>IF($A107="","",INDEX('Master Plan'!$H$7:$H$247,MATCH($A107,'Master Plan'!$A$7:$A$247,0)))</x:f>
      </x:c>
      <x:c r="I107" s="27" t="str">
        <x:f>IF($A107="","",INDEX('Master Plan'!$I$7:$I$247,MATCH($A107,'Master Plan'!$A$7:$A$247,0)))</x:f>
      </x:c>
      <x:c r="J107" s="27" t="str">
        <x:f>IF($A107="","",INDEX('Master Plan'!$J$7:$J$247,MATCH($A107,'Master Plan'!$A$7:$A$247,0)))</x:f>
      </x:c>
      <x:c r="K107" s="27" t="str">
        <x:f>IF($A107="","",INDEX('Master Plan'!$K$7:$K$247,MATCH($A107,'Master Plan'!$A$7:$A$247,0)))</x:f>
      </x:c>
    </x:row>
  </x:sheetData>
  <x:conditionalFormatting sqref="G8:G107">
    <x:cfRule type="containsText" dxfId="45" priority="1" operator="containsText" text="Complete"/>
    <x:cfRule type="containsText" dxfId="46" priority="2" operator="containsText" text="In Progress"/>
    <x:cfRule type="containsText" dxfId="47" priority="3" operator="containsText" text="At Risk"/>
    <x:cfRule type="containsText" dxfId="48" priority="4" operator="containsText" text="Blocked"/>
    <x:cfRule type="containsText" dxfId="49" priority="5" operator="containsText" text="Not Started"/>
    <x:cfRule type="containsText" dxfId="50" priority="6" operator="containsText" text="Not Needed"/>
  </x:conditionalFormatting>
  <x:conditionalFormatting sqref="H8:H107">
    <x:cfRule type="containsText" dxfId="51" priority="7" operator="containsText" text="Complete"/>
    <x:cfRule type="containsText" dxfId="52" priority="8" operator="containsText" text="On Track"/>
    <x:cfRule type="containsText" dxfId="53" priority="9" operator="containsText" text="Due Soon"/>
    <x:cfRule type="containsText" dxfId="54" priority="10" operator="containsText" text="Late"/>
    <x:cfRule type="containsText" dxfId="55" priority="11" operator="containsText" text="At Risk"/>
    <x:cfRule type="containsText" dxfId="56" priority="12" operator="containsText" text="Blocked"/>
    <x:cfRule type="containsText" dxfId="57" priority="13" operator="containsText" text="Schedule TBD"/>
    <x:cfRule type="containsText" dxfId="58" priority="14" operator="containsText" text="Not Needed"/>
  </x:conditionalFormatting>
  <x:pageMargins left="0.7" right="0.7" top="0.75" bottom="0.75" header="0.3" footer="0.3"/>
  <x:tableParts count="1">
    <x:tablePart xmlns:r="http://schemas.openxmlformats.org/officeDocument/2006/relationships" r:id="R73ee69320f9841b3"/>
  </x:tableParts>
</x:worksheet>
</file>

<file path=xl/worksheets/sheet3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10" hidden="0" customWidth="1"/>
    <x:col min="2" max="2" width="30" hidden="0" customWidth="1"/>
    <x:col min="3" max="3" width="39" hidden="0" customWidth="1"/>
    <x:col min="4" max="4" width="22" hidden="0" customWidth="1"/>
    <x:col min="5" max="5" width="11" hidden="0" customWidth="1"/>
    <x:col min="6" max="6" width="11" hidden="0" customWidth="1"/>
    <x:col min="7" max="7" width="16" hidden="0" customWidth="1"/>
    <x:col min="8" max="8" width="17" hidden="0" customWidth="1"/>
    <x:col min="9" max="9" width="33" hidden="0" customWidth="1"/>
    <x:col min="10" max="10" width="34" hidden="0" customWidth="1"/>
    <x:col min="11" max="11" width="22" hidden="0" customWidth="1"/>
    <x:col min="12" max="12" width="20" hidden="0" customWidth="1"/>
    <x:col min="13" max="13" width="15" hidden="0" customWidth="1"/>
    <x:col min="14" max="14" width="20" hidden="0" customWidth="1"/>
    <x:col min="15" max="15" width="42" hidden="0" customWidth="1"/>
    <x:col min="16" max="16" width="6" hidden="0" customWidth="1"/>
  </x:cols>
  <x:sheetData>
    <x:row r="2">
      <x:c r="A2" s="94" t="str">
        <x:v>Master Project Plan</x:v>
      </x:c>
      <x:c r="B2" s="95"/>
      <x:c r="C2" s="95"/>
      <x:c r="D2" s="95"/>
      <x:c r="E2" s="95"/>
      <x:c r="F2" s="95"/>
      <x:c r="G2" s="95"/>
      <x:c r="H2" s="95"/>
      <x:c r="I2" s="95"/>
      <x:c r="J2" s="95"/>
      <x:c r="K2" s="95"/>
      <x:c r="L2" s="95"/>
      <x:c r="M2" s="95"/>
      <x:c r="N2" s="95"/>
      <x:c r="O2" s="95"/>
      <x:c r="P2" s="95"/>
    </x:row>
    <x:row r="3">
      <x:c r="A3" s="96" t="str">
        <x:v>Credit Sense by SavvyMoney integration into Fiserv OLB</x:v>
      </x:c>
      <x:c r="B3" s="96"/>
      <x:c r="C3" s="96"/>
      <x:c r="D3" s="96"/>
      <x:c r="E3" s="96"/>
      <x:c r="F3" s="96"/>
      <x:c r="G3" s="96"/>
      <x:c r="H3" s="96"/>
      <x:c r="I3" s="96"/>
      <x:c r="J3" s="96"/>
      <x:c r="K3" s="96"/>
      <x:c r="L3" s="96"/>
      <x:c r="M3" s="96"/>
      <x:c r="N3" s="96"/>
      <x:c r="O3" s="96"/>
      <x:c r="P3" s="96"/>
    </x:row>
    <x:row r="4">
      <x:c r="A4" s="96" t="str">
        <x:v>Manage accountability, timing, status, next actions, and decisions here. Not Needed items are excluded from the Weekly Action View and progress metrics.</x:v>
      </x:c>
      <x:c r="B4" s="96"/>
      <x:c r="C4" s="96"/>
      <x:c r="D4" s="96"/>
      <x:c r="E4" s="96"/>
      <x:c r="F4" s="96"/>
      <x:c r="G4" s="96"/>
      <x:c r="H4" s="96"/>
      <x:c r="I4" s="96"/>
      <x:c r="J4" s="96"/>
      <x:c r="K4" s="96"/>
      <x:c r="L4" s="96"/>
      <x:c r="M4" s="96"/>
      <x:c r="N4" s="96"/>
      <x:c r="O4" s="96"/>
      <x:c r="P4" s="96"/>
    </x:row>
    <x:row r="5">
      <x:c r="A5" s="93"/>
      <x:c r="B5" s="93"/>
      <x:c r="C5" s="93"/>
      <x:c r="D5" s="93"/>
      <x:c r="E5" s="93"/>
      <x:c r="F5" s="93"/>
      <x:c r="G5" s="93"/>
      <x:c r="H5" s="93"/>
      <x:c r="I5" s="93"/>
      <x:c r="J5" s="93"/>
      <x:c r="K5" s="93"/>
      <x:c r="L5" s="93"/>
      <x:c r="M5" s="93"/>
      <x:c r="N5" s="93"/>
      <x:c r="O5" s="93"/>
      <x:c r="P5" s="93"/>
    </x:row>
    <x:row r="6" ht="30" customHeight="1">
      <x:c r="A6" s="9" t="str">
        <x:v>WBS ID</x:v>
      </x:c>
      <x:c r="B6" s="9" t="str">
        <x:v>Phase / Workstream</x:v>
      </x:c>
      <x:c r="C6" s="9" t="str">
        <x:v>Activity</x:v>
      </x:c>
      <x:c r="D6" s="9" t="str">
        <x:v>Accountable Owner</x:v>
      </x:c>
      <x:c r="E6" s="9" t="str">
        <x:v>Start Week</x:v>
      </x:c>
      <x:c r="F6" s="9" t="str">
        <x:v>End Week</x:v>
      </x:c>
      <x:c r="G6" s="9" t="str">
        <x:v>Status</x:v>
      </x:c>
      <x:c r="H6" s="9" t="str">
        <x:v>Schedule Health</x:v>
      </x:c>
      <x:c r="I6" s="9" t="str">
        <x:v>Next Action</x:v>
      </x:c>
      <x:c r="J6" s="9" t="str">
        <x:v>Blocker / Decision Needed</x:v>
      </x:c>
      <x:c r="K6" s="9" t="str">
        <x:v>Supporting Teams</x:v>
      </x:c>
      <x:c r="L6" s="9" t="str">
        <x:v>Dependencies</x:v>
      </x:c>
      <x:c r="M6" s="9" t="str">
        <x:v>Duration (Weeks)</x:v>
      </x:c>
      <x:c r="N6" s="9" t="str">
        <x:v>Milestone / Stage Gate</x:v>
      </x:c>
      <x:c r="O6" s="9" t="str">
        <x:v>Notes</x:v>
      </x:c>
      <x:c r="P6" s="9" t="str">
        <x:v>Key</x:v>
      </x:c>
    </x:row>
    <x:row r="7" ht="24" customHeight="1">
      <x:c r="A7" s="21" t="str">
        <x:v>​1.1</x:v>
      </x:c>
      <x:c r="B7" s="24" t="str">
        <x:v>Project Initiation</x:v>
      </x:c>
      <x:c r="C7" s="24" t="str">
        <x:v>Confirm business sponsor</x:v>
      </x:c>
      <x:c r="D7" s="24" t="str">
        <x:v>Client</x:v>
      </x:c>
      <x:c r="E7" s="25" t="n">
        <x:v>1</x:v>
      </x:c>
      <x:c r="F7" s="25" t="n">
        <x:v>1</x:v>
      </x:c>
      <x:c r="G7" s="26" t="str">
        <x:v>Not Started</x:v>
      </x:c>
      <x:c r="H7" s="26" t="str">
        <x:f>IF(G7="Not Needed","Not Needed",IF(G7="Complete","Complete",IF(G7="Blocked","Blocked",IF(G7="At Risk","At Risk",IF(OR(E7="",F7=""),"Schedule TBD",IF(F7&lt;'Overview'!$B$8,"Late",IF(E7&lt;='Overview'!$B$8+2,"Due Soon","On Track")))))))</x:f>
        <x:v>Due Soon</x:v>
      </x:c>
      <x:c r="I7" s="30" t="str"/>
      <x:c r="J7" s="30" t="str"/>
      <x:c r="K7" s="27" t="str"/>
      <x:c r="L7" s="27" t="str">
        <x:v>—</x:v>
      </x:c>
      <x:c r="M7" s="28" t="n">
        <x:f>IF(OR(E7="",F7=""),"",F7-E7+1)</x:f>
        <x:v>1</x:v>
      </x:c>
      <x:c r="N7" s="29" t="str"/>
      <x:c r="O7" s="27" t="str"/>
      <x:c r="P7" s="20" t="n">
        <x:f>IF(AND(G7&lt;&gt;"Not Needed",G7&lt;&gt;"Complete",OR(G7="Blocked",G7="At Risk",G7="In Progress",H7="Late",H7="Due Soon")),COUNT($P$6:P6)+1,"")</x:f>
        <x:v>1</x:v>
      </x:c>
    </x:row>
    <x:row r="8" ht="24" customHeight="1">
      <x:c r="A8" s="21" t="str">
        <x:v>​1.2</x:v>
      </x:c>
      <x:c r="B8" s="24" t="str">
        <x:v>Project Initiation</x:v>
      </x:c>
      <x:c r="C8" s="24" t="str">
        <x:v>Assign client project manager</x:v>
      </x:c>
      <x:c r="D8" s="24" t="str">
        <x:v>Client</x:v>
      </x:c>
      <x:c r="E8" s="25" t="n">
        <x:v>1</x:v>
      </x:c>
      <x:c r="F8" s="25" t="n">
        <x:v>1</x:v>
      </x:c>
      <x:c r="G8" s="26" t="str">
        <x:v>Not Started</x:v>
      </x:c>
      <x:c r="H8" s="26" t="str">
        <x:f>IF(G8="Not Needed","Not Needed",IF(G8="Complete","Complete",IF(G8="Blocked","Blocked",IF(G8="At Risk","At Risk",IF(OR(E8="",F8=""),"Schedule TBD",IF(F8&lt;'Overview'!$B$8,"Late",IF(E8&lt;='Overview'!$B$8+2,"Due Soon","On Track")))))))</x:f>
        <x:v>Due Soon</x:v>
      </x:c>
      <x:c r="I8" s="30" t="str"/>
      <x:c r="J8" s="30" t="str"/>
      <x:c r="K8" s="27" t="str"/>
      <x:c r="L8" s="27" t="str">
        <x:v>—</x:v>
      </x:c>
      <x:c r="M8" s="28" t="n">
        <x:f>IF(OR(E8="",F8=""),"",F8-E8+1)</x:f>
        <x:v>1</x:v>
      </x:c>
      <x:c r="N8" s="29" t="str"/>
      <x:c r="O8" s="27" t="str"/>
      <x:c r="P8" s="20" t="n">
        <x:f>IF(AND(G8&lt;&gt;"Not Needed",G8&lt;&gt;"Complete",OR(G8="Blocked",G8="At Risk",G8="In Progress",H8="Late",H8="Due Soon")),COUNT($P$6:P7)+1,"")</x:f>
        <x:v>2</x:v>
      </x:c>
    </x:row>
    <x:row r="9" ht="24" customHeight="1">
      <x:c r="A9" s="21" t="str">
        <x:v>​1.3</x:v>
      </x:c>
      <x:c r="B9" s="24" t="str">
        <x:v>Project Initiation</x:v>
      </x:c>
      <x:c r="C9" s="24" t="str">
        <x:v>Assign Digital/Product lead</x:v>
      </x:c>
      <x:c r="D9" s="24" t="str">
        <x:v>Client</x:v>
      </x:c>
      <x:c r="E9" s="25" t="n">
        <x:v>1</x:v>
      </x:c>
      <x:c r="F9" s="25" t="n">
        <x:v>1</x:v>
      </x:c>
      <x:c r="G9" s="26" t="str">
        <x:v>Not Started</x:v>
      </x:c>
      <x:c r="H9" s="26" t="str">
        <x:f>IF(G9="Not Needed","Not Needed",IF(G9="Complete","Complete",IF(G9="Blocked","Blocked",IF(G9="At Risk","At Risk",IF(OR(E9="",F9=""),"Schedule TBD",IF(F9&lt;'Overview'!$B$8,"Late",IF(E9&lt;='Overview'!$B$8+2,"Due Soon","On Track")))))))</x:f>
        <x:v>Due Soon</x:v>
      </x:c>
      <x:c r="I9" s="30" t="str"/>
      <x:c r="J9" s="30" t="str"/>
      <x:c r="K9" s="27" t="str"/>
      <x:c r="L9" s="27" t="str">
        <x:v>—</x:v>
      </x:c>
      <x:c r="M9" s="28" t="n">
        <x:f>IF(OR(E9="",F9=""),"",F9-E9+1)</x:f>
        <x:v>1</x:v>
      </x:c>
      <x:c r="N9" s="29" t="str"/>
      <x:c r="O9" s="27" t="str"/>
      <x:c r="P9" s="20" t="n">
        <x:f>IF(AND(G9&lt;&gt;"Not Needed",G9&lt;&gt;"Complete",OR(G9="Blocked",G9="At Risk",G9="In Progress",H9="Late",H9="Due Soon")),COUNT($P$6:P8)+1,"")</x:f>
        <x:v>3</x:v>
      </x:c>
    </x:row>
    <x:row r="10" ht="24" customHeight="1">
      <x:c r="A10" s="21" t="str">
        <x:v>​1.4</x:v>
      </x:c>
      <x:c r="B10" s="24" t="str">
        <x:v>Project Initiation</x:v>
      </x:c>
      <x:c r="C10" s="24" t="str">
        <x:v>Confirm Fiserv implementation contacts</x:v>
      </x:c>
      <x:c r="D10" s="24" t="str">
        <x:v>Fiserv</x:v>
      </x:c>
      <x:c r="E10" s="25" t="n">
        <x:v>1</x:v>
      </x:c>
      <x:c r="F10" s="25" t="n">
        <x:v>1</x:v>
      </x:c>
      <x:c r="G10" s="26" t="str">
        <x:v>Not Started</x:v>
      </x:c>
      <x:c r="H10" s="26" t="str">
        <x:f>IF(G10="Not Needed","Not Needed",IF(G10="Complete","Complete",IF(G10="Blocked","Blocked",IF(G10="At Risk","At Risk",IF(OR(E10="",F10=""),"Schedule TBD",IF(F10&lt;'Overview'!$B$8,"Late",IF(E10&lt;='Overview'!$B$8+2,"Due Soon","On Track")))))))</x:f>
        <x:v>Due Soon</x:v>
      </x:c>
      <x:c r="I10" s="30" t="str"/>
      <x:c r="J10" s="30" t="str"/>
      <x:c r="K10" s="27" t="str"/>
      <x:c r="L10" s="27" t="str">
        <x:v>—</x:v>
      </x:c>
      <x:c r="M10" s="28" t="n">
        <x:f>IF(OR(E10="",F10=""),"",F10-E10+1)</x:f>
        <x:v>1</x:v>
      </x:c>
      <x:c r="N10" s="29" t="str"/>
      <x:c r="O10" s="27" t="str"/>
      <x:c r="P10" s="20" t="n">
        <x:f>IF(AND(G10&lt;&gt;"Not Needed",G10&lt;&gt;"Complete",OR(G10="Blocked",G10="At Risk",G10="In Progress",H10="Late",H10="Due Soon")),COUNT($P$6:P9)+1,"")</x:f>
        <x:v>4</x:v>
      </x:c>
    </x:row>
    <x:row r="11" ht="24" customHeight="1">
      <x:c r="A11" s="21" t="str">
        <x:v>​1.5</x:v>
      </x:c>
      <x:c r="B11" s="24" t="str">
        <x:v>Project Initiation</x:v>
      </x:c>
      <x:c r="C11" s="24" t="str">
        <x:v>Confirm SavvyMoney implementation contacts</x:v>
      </x:c>
      <x:c r="D11" s="24" t="str">
        <x:v>SavvyMoney</x:v>
      </x:c>
      <x:c r="E11" s="25" t="n">
        <x:v>1</x:v>
      </x:c>
      <x:c r="F11" s="25" t="n">
        <x:v>1</x:v>
      </x:c>
      <x:c r="G11" s="26" t="str">
        <x:v>Not Started</x:v>
      </x:c>
      <x:c r="H11" s="26" t="str">
        <x:f>IF(G11="Not Needed","Not Needed",IF(G11="Complete","Complete",IF(G11="Blocked","Blocked",IF(G11="At Risk","At Risk",IF(OR(E11="",F11=""),"Schedule TBD",IF(F11&lt;'Overview'!$B$8,"Late",IF(E11&lt;='Overview'!$B$8+2,"Due Soon","On Track")))))))</x:f>
        <x:v>Due Soon</x:v>
      </x:c>
      <x:c r="I11" s="30" t="str"/>
      <x:c r="J11" s="30" t="str"/>
      <x:c r="K11" s="27" t="str"/>
      <x:c r="L11" s="27" t="str">
        <x:v>—</x:v>
      </x:c>
      <x:c r="M11" s="28" t="n">
        <x:f>IF(OR(E11="",F11=""),"",F11-E11+1)</x:f>
        <x:v>1</x:v>
      </x:c>
      <x:c r="N11" s="29" t="str"/>
      <x:c r="O11" s="27" t="str"/>
      <x:c r="P11" s="20" t="n">
        <x:f>IF(AND(G11&lt;&gt;"Not Needed",G11&lt;&gt;"Complete",OR(G11="Blocked",G11="At Risk",G11="In Progress",H11="Late",H11="Due Soon")),COUNT($P$6:P10)+1,"")</x:f>
        <x:v>5</x:v>
      </x:c>
    </x:row>
    <x:row r="12" ht="24" customHeight="1">
      <x:c r="A12" s="21" t="str">
        <x:v>​1.6</x:v>
      </x:c>
      <x:c r="B12" s="24" t="str">
        <x:v>Project Initiation</x:v>
      </x:c>
      <x:c r="C12" s="24" t="str">
        <x:v>Identify technical/integration resources</x:v>
      </x:c>
      <x:c r="D12" s="24" t="str">
        <x:v>Client</x:v>
      </x:c>
      <x:c r="E12" s="25" t="n">
        <x:v>1</x:v>
      </x:c>
      <x:c r="F12" s="25" t="n">
        <x:v>1</x:v>
      </x:c>
      <x:c r="G12" s="26" t="str">
        <x:v>Not Started</x:v>
      </x:c>
      <x:c r="H12" s="26" t="str">
        <x:f>IF(G12="Not Needed","Not Needed",IF(G12="Complete","Complete",IF(G12="Blocked","Blocked",IF(G12="At Risk","At Risk",IF(OR(E12="",F12=""),"Schedule TBD",IF(F12&lt;'Overview'!$B$8,"Late",IF(E12&lt;='Overview'!$B$8+2,"Due Soon","On Track")))))))</x:f>
        <x:v>Due Soon</x:v>
      </x:c>
      <x:c r="I12" s="30" t="str"/>
      <x:c r="J12" s="30" t="str"/>
      <x:c r="K12" s="27" t="str"/>
      <x:c r="L12" s="27" t="str">
        <x:v>—</x:v>
      </x:c>
      <x:c r="M12" s="28" t="n">
        <x:f>IF(OR(E12="",F12=""),"",F12-E12+1)</x:f>
        <x:v>1</x:v>
      </x:c>
      <x:c r="N12" s="29" t="str"/>
      <x:c r="O12" s="27" t="str"/>
      <x:c r="P12" s="20" t="n">
        <x:f>IF(AND(G12&lt;&gt;"Not Needed",G12&lt;&gt;"Complete",OR(G12="Blocked",G12="At Risk",G12="In Progress",H12="Late",H12="Due Soon")),COUNT($P$6:P11)+1,"")</x:f>
        <x:v>6</x:v>
      </x:c>
    </x:row>
    <x:row r="13" ht="24" customHeight="1">
      <x:c r="A13" s="21" t="str">
        <x:v>​1.7</x:v>
      </x:c>
      <x:c r="B13" s="24" t="str">
        <x:v>Project Initiation</x:v>
      </x:c>
      <x:c r="C13" s="24" t="str">
        <x:v>Identify Security/InfoSec resources</x:v>
      </x:c>
      <x:c r="D13" s="24" t="str">
        <x:v>Client</x:v>
      </x:c>
      <x:c r="E13" s="25" t="n">
        <x:v>1</x:v>
      </x:c>
      <x:c r="F13" s="25" t="n">
        <x:v>1</x:v>
      </x:c>
      <x:c r="G13" s="26" t="str">
        <x:v>Not Started</x:v>
      </x:c>
      <x:c r="H13" s="26" t="str">
        <x:f>IF(G13="Not Needed","Not Needed",IF(G13="Complete","Complete",IF(G13="Blocked","Blocked",IF(G13="At Risk","At Risk",IF(OR(E13="",F13=""),"Schedule TBD",IF(F13&lt;'Overview'!$B$8,"Late",IF(E13&lt;='Overview'!$B$8+2,"Due Soon","On Track")))))))</x:f>
        <x:v>Due Soon</x:v>
      </x:c>
      <x:c r="I13" s="30" t="str"/>
      <x:c r="J13" s="30" t="str"/>
      <x:c r="K13" s="27" t="str"/>
      <x:c r="L13" s="27" t="str">
        <x:v>—</x:v>
      </x:c>
      <x:c r="M13" s="28" t="n">
        <x:f>IF(OR(E13="",F13=""),"",F13-E13+1)</x:f>
        <x:v>1</x:v>
      </x:c>
      <x:c r="N13" s="29" t="str"/>
      <x:c r="O13" s="27" t="str"/>
      <x:c r="P13" s="20" t="n">
        <x:f>IF(AND(G13&lt;&gt;"Not Needed",G13&lt;&gt;"Complete",OR(G13="Blocked",G13="At Risk",G13="In Progress",H13="Late",H13="Due Soon")),COUNT($P$6:P12)+1,"")</x:f>
        <x:v>7</x:v>
      </x:c>
    </x:row>
    <x:row r="14" ht="24" customHeight="1">
      <x:c r="A14" s="21" t="str">
        <x:v>​1.8</x:v>
      </x:c>
      <x:c r="B14" s="24" t="str">
        <x:v>Project Initiation</x:v>
      </x:c>
      <x:c r="C14" s="24" t="str">
        <x:v>Identify Legal/Compliance resources</x:v>
      </x:c>
      <x:c r="D14" s="24" t="str">
        <x:v>Client</x:v>
      </x:c>
      <x:c r="E14" s="25" t="n">
        <x:v>1</x:v>
      </x:c>
      <x:c r="F14" s="25" t="n">
        <x:v>1</x:v>
      </x:c>
      <x:c r="G14" s="26" t="str">
        <x:v>Not Started</x:v>
      </x:c>
      <x:c r="H14" s="26" t="str">
        <x:f>IF(G14="Not Needed","Not Needed",IF(G14="Complete","Complete",IF(G14="Blocked","Blocked",IF(G14="At Risk","At Risk",IF(OR(E14="",F14=""),"Schedule TBD",IF(F14&lt;'Overview'!$B$8,"Late",IF(E14&lt;='Overview'!$B$8+2,"Due Soon","On Track")))))))</x:f>
        <x:v>Due Soon</x:v>
      </x:c>
      <x:c r="I14" s="30" t="str"/>
      <x:c r="J14" s="30" t="str"/>
      <x:c r="K14" s="27" t="str"/>
      <x:c r="L14" s="27" t="str">
        <x:v>—</x:v>
      </x:c>
      <x:c r="M14" s="28" t="n">
        <x:f>IF(OR(E14="",F14=""),"",F14-E14+1)</x:f>
        <x:v>1</x:v>
      </x:c>
      <x:c r="N14" s="29" t="str"/>
      <x:c r="O14" s="27" t="str"/>
      <x:c r="P14" s="20" t="n">
        <x:f>IF(AND(G14&lt;&gt;"Not Needed",G14&lt;&gt;"Complete",OR(G14="Blocked",G14="At Risk",G14="In Progress",H14="Late",H14="Due Soon")),COUNT($P$6:P13)+1,"")</x:f>
        <x:v>8</x:v>
      </x:c>
    </x:row>
    <x:row r="15" ht="24" customHeight="1">
      <x:c r="A15" s="21" t="str">
        <x:v>​1.9</x:v>
      </x:c>
      <x:c r="B15" s="24" t="str">
        <x:v>Project Initiation</x:v>
      </x:c>
      <x:c r="C15" s="24" t="str">
        <x:v>Identify Marketing/Comms resources</x:v>
      </x:c>
      <x:c r="D15" s="24" t="str">
        <x:v>Client</x:v>
      </x:c>
      <x:c r="E15" s="25" t="n">
        <x:v>1</x:v>
      </x:c>
      <x:c r="F15" s="25" t="n">
        <x:v>1</x:v>
      </x:c>
      <x:c r="G15" s="26" t="str">
        <x:v>Not Started</x:v>
      </x:c>
      <x:c r="H15" s="26" t="str">
        <x:f>IF(G15="Not Needed","Not Needed",IF(G15="Complete","Complete",IF(G15="Blocked","Blocked",IF(G15="At Risk","At Risk",IF(OR(E15="",F15=""),"Schedule TBD",IF(F15&lt;'Overview'!$B$8,"Late",IF(E15&lt;='Overview'!$B$8+2,"Due Soon","On Track")))))))</x:f>
        <x:v>Due Soon</x:v>
      </x:c>
      <x:c r="I15" s="30" t="str"/>
      <x:c r="J15" s="30" t="str"/>
      <x:c r="K15" s="27" t="str"/>
      <x:c r="L15" s="27" t="str">
        <x:v>—</x:v>
      </x:c>
      <x:c r="M15" s="28" t="n">
        <x:f>IF(OR(E15="",F15=""),"",F15-E15+1)</x:f>
        <x:v>1</x:v>
      </x:c>
      <x:c r="N15" s="29" t="str"/>
      <x:c r="O15" s="27" t="str"/>
      <x:c r="P15" s="20" t="n">
        <x:f>IF(AND(G15&lt;&gt;"Not Needed",G15&lt;&gt;"Complete",OR(G15="Blocked",G15="At Risk",G15="In Progress",H15="Late",H15="Due Soon")),COUNT($P$6:P14)+1,"")</x:f>
        <x:v>9</x:v>
      </x:c>
    </x:row>
    <x:row r="16" ht="24" customHeight="1">
      <x:c r="A16" s="21" t="str">
        <x:v>​1.10</x:v>
      </x:c>
      <x:c r="B16" s="24" t="str">
        <x:v>Project Initiation</x:v>
      </x:c>
      <x:c r="C16" s="24" t="str">
        <x:v>Identify Operations/Support resources</x:v>
      </x:c>
      <x:c r="D16" s="24" t="str">
        <x:v>Client</x:v>
      </x:c>
      <x:c r="E16" s="25" t="n">
        <x:v>1</x:v>
      </x:c>
      <x:c r="F16" s="25" t="n">
        <x:v>1</x:v>
      </x:c>
      <x:c r="G16" s="26" t="str">
        <x:v>Not Started</x:v>
      </x:c>
      <x:c r="H16" s="26" t="str">
        <x:f>IF(G16="Not Needed","Not Needed",IF(G16="Complete","Complete",IF(G16="Blocked","Blocked",IF(G16="At Risk","At Risk",IF(OR(E16="",F16=""),"Schedule TBD",IF(F16&lt;'Overview'!$B$8,"Late",IF(E16&lt;='Overview'!$B$8+2,"Due Soon","On Track")))))))</x:f>
        <x:v>Due Soon</x:v>
      </x:c>
      <x:c r="I16" s="30" t="str"/>
      <x:c r="J16" s="30" t="str"/>
      <x:c r="K16" s="27" t="str"/>
      <x:c r="L16" s="27" t="str">
        <x:v>—</x:v>
      </x:c>
      <x:c r="M16" s="28" t="n">
        <x:f>IF(OR(E16="",F16=""),"",F16-E16+1)</x:f>
        <x:v>1</x:v>
      </x:c>
      <x:c r="N16" s="29" t="str"/>
      <x:c r="O16" s="27" t="str"/>
      <x:c r="P16" s="20" t="n">
        <x:f>IF(AND(G16&lt;&gt;"Not Needed",G16&lt;&gt;"Complete",OR(G16="Blocked",G16="At Risk",G16="In Progress",H16="Late",H16="Due Soon")),COUNT($P$6:P15)+1,"")</x:f>
        <x:v>10</x:v>
      </x:c>
    </x:row>
    <x:row r="17" ht="24" customHeight="1">
      <x:c r="A17" s="21" t="str">
        <x:v>​1.11</x:v>
      </x:c>
      <x:c r="B17" s="24" t="str">
        <x:v>Project Initiation</x:v>
      </x:c>
      <x:c r="C17" s="24" t="str">
        <x:v>Confirm project scope</x:v>
      </x:c>
      <x:c r="D17" s="24" t="str">
        <x:v>Product</x:v>
      </x:c>
      <x:c r="E17" s="25" t="n">
        <x:v>1</x:v>
      </x:c>
      <x:c r="F17" s="25" t="n">
        <x:v>1</x:v>
      </x:c>
      <x:c r="G17" s="26" t="str">
        <x:v>Not Started</x:v>
      </x:c>
      <x:c r="H17" s="26" t="str">
        <x:f>IF(G17="Not Needed","Not Needed",IF(G17="Complete","Complete",IF(G17="Blocked","Blocked",IF(G17="At Risk","At Risk",IF(OR(E17="",F17=""),"Schedule TBD",IF(F17&lt;'Overview'!$B$8,"Late",IF(E17&lt;='Overview'!$B$8+2,"Due Soon","On Track")))))))</x:f>
        <x:v>Due Soon</x:v>
      </x:c>
      <x:c r="I17" s="30" t="str"/>
      <x:c r="J17" s="30" t="str"/>
      <x:c r="K17" s="27" t="str">
        <x:v>PM</x:v>
      </x:c>
      <x:c r="L17" s="27" t="str">
        <x:v>​1.1–1.10</x:v>
      </x:c>
      <x:c r="M17" s="28" t="n">
        <x:f>IF(OR(E17="",F17=""),"",F17-E17+1)</x:f>
        <x:v>1</x:v>
      </x:c>
      <x:c r="N17" s="29" t="str"/>
      <x:c r="O17" s="27" t="str"/>
      <x:c r="P17" s="20" t="n">
        <x:f>IF(AND(G17&lt;&gt;"Not Needed",G17&lt;&gt;"Complete",OR(G17="Blocked",G17="At Risk",G17="In Progress",H17="Late",H17="Due Soon")),COUNT($P$6:P16)+1,"")</x:f>
        <x:v>11</x:v>
      </x:c>
    </x:row>
    <x:row r="18" ht="24" customHeight="1">
      <x:c r="A18" s="21" t="str">
        <x:v>​1.12</x:v>
      </x:c>
      <x:c r="B18" s="24" t="str">
        <x:v>Project Initiation</x:v>
      </x:c>
      <x:c r="C18" s="24" t="str">
        <x:v>Define in-scope Credit Sense capabilities</x:v>
      </x:c>
      <x:c r="D18" s="24" t="str">
        <x:v>Product</x:v>
      </x:c>
      <x:c r="E18" s="25" t="n">
        <x:v>1</x:v>
      </x:c>
      <x:c r="F18" s="25" t="n">
        <x:v>1</x:v>
      </x:c>
      <x:c r="G18" s="26" t="str">
        <x:v>Not Started</x:v>
      </x:c>
      <x:c r="H18" s="26" t="str">
        <x:f>IF(G18="Not Needed","Not Needed",IF(G18="Complete","Complete",IF(G18="Blocked","Blocked",IF(G18="At Risk","At Risk",IF(OR(E18="",F18=""),"Schedule TBD",IF(F18&lt;'Overview'!$B$8,"Late",IF(E18&lt;='Overview'!$B$8+2,"Due Soon","On Track")))))))</x:f>
        <x:v>Due Soon</x:v>
      </x:c>
      <x:c r="I18" s="30" t="str"/>
      <x:c r="J18" s="30" t="str"/>
      <x:c r="K18" s="27" t="str"/>
      <x:c r="L18" s="27" t="str">
        <x:v>​1.11</x:v>
      </x:c>
      <x:c r="M18" s="28" t="n">
        <x:f>IF(OR(E18="",F18=""),"",F18-E18+1)</x:f>
        <x:v>1</x:v>
      </x:c>
      <x:c r="N18" s="29" t="str"/>
      <x:c r="O18" s="27" t="str"/>
      <x:c r="P18" s="20" t="n">
        <x:f>IF(AND(G18&lt;&gt;"Not Needed",G18&lt;&gt;"Complete",OR(G18="Blocked",G18="At Risk",G18="In Progress",H18="Late",H18="Due Soon")),COUNT($P$6:P17)+1,"")</x:f>
        <x:v>12</x:v>
      </x:c>
    </x:row>
    <x:row r="19" ht="24" customHeight="1">
      <x:c r="A19" s="21" t="str">
        <x:v>​1.13</x:v>
      </x:c>
      <x:c r="B19" s="24" t="str">
        <x:v>Project Initiation</x:v>
      </x:c>
      <x:c r="C19" s="24" t="str">
        <x:v>Document out-of-scope capabilities</x:v>
      </x:c>
      <x:c r="D19" s="24" t="str">
        <x:v>Product</x:v>
      </x:c>
      <x:c r="E19" s="25" t="n">
        <x:v>1</x:v>
      </x:c>
      <x:c r="F19" s="25" t="n">
        <x:v>1</x:v>
      </x:c>
      <x:c r="G19" s="26" t="str">
        <x:v>Not Started</x:v>
      </x:c>
      <x:c r="H19" s="26" t="str">
        <x:f>IF(G19="Not Needed","Not Needed",IF(G19="Complete","Complete",IF(G19="Blocked","Blocked",IF(G19="At Risk","At Risk",IF(OR(E19="",F19=""),"Schedule TBD",IF(F19&lt;'Overview'!$B$8,"Late",IF(E19&lt;='Overview'!$B$8+2,"Due Soon","On Track")))))))</x:f>
        <x:v>Due Soon</x:v>
      </x:c>
      <x:c r="I19" s="30" t="str"/>
      <x:c r="J19" s="30" t="str"/>
      <x:c r="K19" s="27" t="str"/>
      <x:c r="L19" s="27" t="str">
        <x:v>​1.11</x:v>
      </x:c>
      <x:c r="M19" s="28" t="n">
        <x:f>IF(OR(E19="",F19=""),"",F19-E19+1)</x:f>
        <x:v>1</x:v>
      </x:c>
      <x:c r="N19" s="29" t="str"/>
      <x:c r="O19" s="27" t="str"/>
      <x:c r="P19" s="20" t="n">
        <x:f>IF(AND(G19&lt;&gt;"Not Needed",G19&lt;&gt;"Complete",OR(G19="Blocked",G19="At Risk",G19="In Progress",H19="Late",H19="Due Soon")),COUNT($P$6:P18)+1,"")</x:f>
        <x:v>13</x:v>
      </x:c>
    </x:row>
    <x:row r="20" ht="24" customHeight="1">
      <x:c r="A20" s="21" t="str">
        <x:v>​1.14</x:v>
      </x:c>
      <x:c r="B20" s="24" t="str">
        <x:v>Project Initiation</x:v>
      </x:c>
      <x:c r="C20" s="24" t="str">
        <x:v>Define launch target</x:v>
      </x:c>
      <x:c r="D20" s="24" t="str">
        <x:v>Sponsor</x:v>
      </x:c>
      <x:c r="E20" s="25" t="n">
        <x:v>1</x:v>
      </x:c>
      <x:c r="F20" s="25" t="n">
        <x:v>1</x:v>
      </x:c>
      <x:c r="G20" s="26" t="str">
        <x:v>Not Started</x:v>
      </x:c>
      <x:c r="H20" s="26" t="str">
        <x:f>IF(G20="Not Needed","Not Needed",IF(G20="Complete","Complete",IF(G20="Blocked","Blocked",IF(G20="At Risk","At Risk",IF(OR(E20="",F20=""),"Schedule TBD",IF(F20&lt;'Overview'!$B$8,"Late",IF(E20&lt;='Overview'!$B$8+2,"Due Soon","On Track")))))))</x:f>
        <x:v>Due Soon</x:v>
      </x:c>
      <x:c r="I20" s="30" t="str"/>
      <x:c r="J20" s="30" t="str"/>
      <x:c r="K20" s="27" t="str">
        <x:v>PM</x:v>
      </x:c>
      <x:c r="L20" s="27" t="str">
        <x:v>​1.11</x:v>
      </x:c>
      <x:c r="M20" s="28" t="n">
        <x:f>IF(OR(E20="",F20=""),"",F20-E20+1)</x:f>
        <x:v>1</x:v>
      </x:c>
      <x:c r="N20" s="29" t="str"/>
      <x:c r="O20" s="27" t="str"/>
      <x:c r="P20" s="20" t="n">
        <x:f>IF(AND(G20&lt;&gt;"Not Needed",G20&lt;&gt;"Complete",OR(G20="Blocked",G20="At Risk",G20="In Progress",H20="Late",H20="Due Soon")),COUNT($P$6:P19)+1,"")</x:f>
        <x:v>14</x:v>
      </x:c>
    </x:row>
    <x:row r="21" ht="24" customHeight="1">
      <x:c r="A21" s="21" t="str">
        <x:v>​1.15</x:v>
      </x:c>
      <x:c r="B21" s="24" t="str">
        <x:v>Project Initiation</x:v>
      </x:c>
      <x:c r="C21" s="24" t="str">
        <x:v>Define project governance</x:v>
      </x:c>
      <x:c r="D21" s="24" t="str">
        <x:v>PM</x:v>
      </x:c>
      <x:c r="E21" s="25" t="n">
        <x:v>1</x:v>
      </x:c>
      <x:c r="F21" s="25" t="n">
        <x:v>1</x:v>
      </x:c>
      <x:c r="G21" s="26" t="str">
        <x:v>Not Started</x:v>
      </x:c>
      <x:c r="H21" s="26" t="str">
        <x:f>IF(G21="Not Needed","Not Needed",IF(G21="Complete","Complete",IF(G21="Blocked","Blocked",IF(G21="At Risk","At Risk",IF(OR(E21="",F21=""),"Schedule TBD",IF(F21&lt;'Overview'!$B$8,"Late",IF(E21&lt;='Overview'!$B$8+2,"Due Soon","On Track")))))))</x:f>
        <x:v>Due Soon</x:v>
      </x:c>
      <x:c r="I21" s="30" t="str"/>
      <x:c r="J21" s="30" t="str"/>
      <x:c r="K21" s="27" t="str"/>
      <x:c r="L21" s="27" t="str">
        <x:v>​1.1–1.10</x:v>
      </x:c>
      <x:c r="M21" s="28" t="n">
        <x:f>IF(OR(E21="",F21=""),"",F21-E21+1)</x:f>
        <x:v>1</x:v>
      </x:c>
      <x:c r="N21" s="29" t="str"/>
      <x:c r="O21" s="27" t="str"/>
      <x:c r="P21" s="20" t="n">
        <x:f>IF(AND(G21&lt;&gt;"Not Needed",G21&lt;&gt;"Complete",OR(G21="Blocked",G21="At Risk",G21="In Progress",H21="Late",H21="Due Soon")),COUNT($P$6:P20)+1,"")</x:f>
        <x:v>15</x:v>
      </x:c>
    </x:row>
    <x:row r="22" ht="24" customHeight="1">
      <x:c r="A22" s="21" t="str">
        <x:v>​1.16</x:v>
      </x:c>
      <x:c r="B22" s="24" t="str">
        <x:v>Project Initiation</x:v>
      </x:c>
      <x:c r="C22" s="24" t="str">
        <x:v>Establish weekly project meeting</x:v>
      </x:c>
      <x:c r="D22" s="24" t="str">
        <x:v>PM</x:v>
      </x:c>
      <x:c r="E22" s="25" t="n">
        <x:v>1</x:v>
      </x:c>
      <x:c r="F22" s="25" t="n">
        <x:v>1</x:v>
      </x:c>
      <x:c r="G22" s="26" t="str">
        <x:v>Not Started</x:v>
      </x:c>
      <x:c r="H22" s="26" t="str">
        <x:f>IF(G22="Not Needed","Not Needed",IF(G22="Complete","Complete",IF(G22="Blocked","Blocked",IF(G22="At Risk","At Risk",IF(OR(E22="",F22=""),"Schedule TBD",IF(F22&lt;'Overview'!$B$8,"Late",IF(E22&lt;='Overview'!$B$8+2,"Due Soon","On Track")))))))</x:f>
        <x:v>Due Soon</x:v>
      </x:c>
      <x:c r="I22" s="30" t="str"/>
      <x:c r="J22" s="30" t="str"/>
      <x:c r="K22" s="27" t="str"/>
      <x:c r="L22" s="27" t="str">
        <x:v>​1.15</x:v>
      </x:c>
      <x:c r="M22" s="28" t="n">
        <x:f>IF(OR(E22="",F22=""),"",F22-E22+1)</x:f>
        <x:v>1</x:v>
      </x:c>
      <x:c r="N22" s="29" t="str"/>
      <x:c r="O22" s="27" t="str"/>
      <x:c r="P22" s="20" t="n">
        <x:f>IF(AND(G22&lt;&gt;"Not Needed",G22&lt;&gt;"Complete",OR(G22="Blocked",G22="At Risk",G22="In Progress",H22="Late",H22="Due Soon")),COUNT($P$6:P21)+1,"")</x:f>
        <x:v>16</x:v>
      </x:c>
    </x:row>
    <x:row r="23" ht="24" customHeight="1">
      <x:c r="A23" s="21" t="str">
        <x:v>​1.17</x:v>
      </x:c>
      <x:c r="B23" s="24" t="str">
        <x:v>Project Initiation</x:v>
      </x:c>
      <x:c r="C23" s="24" t="str">
        <x:v>Establish RAID log</x:v>
      </x:c>
      <x:c r="D23" s="24" t="str">
        <x:v>PM</x:v>
      </x:c>
      <x:c r="E23" s="25" t="n">
        <x:v>1</x:v>
      </x:c>
      <x:c r="F23" s="25" t="n">
        <x:v>1</x:v>
      </x:c>
      <x:c r="G23" s="26" t="str">
        <x:v>Not Started</x:v>
      </x:c>
      <x:c r="H23" s="26" t="str">
        <x:f>IF(G23="Not Needed","Not Needed",IF(G23="Complete","Complete",IF(G23="Blocked","Blocked",IF(G23="At Risk","At Risk",IF(OR(E23="",F23=""),"Schedule TBD",IF(F23&lt;'Overview'!$B$8,"Late",IF(E23&lt;='Overview'!$B$8+2,"Due Soon","On Track")))))))</x:f>
        <x:v>Due Soon</x:v>
      </x:c>
      <x:c r="I23" s="30" t="str"/>
      <x:c r="J23" s="30" t="str"/>
      <x:c r="K23" s="27" t="str"/>
      <x:c r="L23" s="27" t="str">
        <x:v>​1.15</x:v>
      </x:c>
      <x:c r="M23" s="28" t="n">
        <x:f>IF(OR(E23="",F23=""),"",F23-E23+1)</x:f>
        <x:v>1</x:v>
      </x:c>
      <x:c r="N23" s="29" t="str"/>
      <x:c r="O23" s="27" t="str"/>
      <x:c r="P23" s="20" t="n">
        <x:f>IF(AND(G23&lt;&gt;"Not Needed",G23&lt;&gt;"Complete",OR(G23="Blocked",G23="At Risk",G23="In Progress",H23="Late",H23="Due Soon")),COUNT($P$6:P22)+1,"")</x:f>
        <x:v>17</x:v>
      </x:c>
    </x:row>
    <x:row r="24" ht="24" customHeight="1">
      <x:c r="A24" s="21" t="str">
        <x:v>​1.18</x:v>
      </x:c>
      <x:c r="B24" s="24" t="str">
        <x:v>Project Initiation</x:v>
      </x:c>
      <x:c r="C24" s="24" t="str">
        <x:v>Establish decision log</x:v>
      </x:c>
      <x:c r="D24" s="24" t="str">
        <x:v>PM</x:v>
      </x:c>
      <x:c r="E24" s="25" t="n">
        <x:v>1</x:v>
      </x:c>
      <x:c r="F24" s="25" t="n">
        <x:v>1</x:v>
      </x:c>
      <x:c r="G24" s="26" t="str">
        <x:v>Not Started</x:v>
      </x:c>
      <x:c r="H24" s="26" t="str">
        <x:f>IF(G24="Not Needed","Not Needed",IF(G24="Complete","Complete",IF(G24="Blocked","Blocked",IF(G24="At Risk","At Risk",IF(OR(E24="",F24=""),"Schedule TBD",IF(F24&lt;'Overview'!$B$8,"Late",IF(E24&lt;='Overview'!$B$8+2,"Due Soon","On Track")))))))</x:f>
        <x:v>Due Soon</x:v>
      </x:c>
      <x:c r="I24" s="30" t="str"/>
      <x:c r="J24" s="30" t="str"/>
      <x:c r="K24" s="27" t="str"/>
      <x:c r="L24" s="27" t="str">
        <x:v>​1.15</x:v>
      </x:c>
      <x:c r="M24" s="28" t="n">
        <x:f>IF(OR(E24="",F24=""),"",F24-E24+1)</x:f>
        <x:v>1</x:v>
      </x:c>
      <x:c r="N24" s="29" t="str"/>
      <x:c r="O24" s="27" t="str"/>
      <x:c r="P24" s="20" t="n">
        <x:f>IF(AND(G24&lt;&gt;"Not Needed",G24&lt;&gt;"Complete",OR(G24="Blocked",G24="At Risk",G24="In Progress",H24="Late",H24="Due Soon")),COUNT($P$6:P23)+1,"")</x:f>
        <x:v>18</x:v>
      </x:c>
    </x:row>
    <x:row r="25" ht="24" customHeight="1">
      <x:c r="A25" s="21" t="str">
        <x:v>​1.19</x:v>
      </x:c>
      <x:c r="B25" s="24" t="str">
        <x:v>Project Initiation</x:v>
      </x:c>
      <x:c r="C25" s="24" t="str">
        <x:v>Establish project repository</x:v>
      </x:c>
      <x:c r="D25" s="24" t="str">
        <x:v>PM</x:v>
      </x:c>
      <x:c r="E25" s="25" t="n">
        <x:v>1</x:v>
      </x:c>
      <x:c r="F25" s="25" t="n">
        <x:v>1</x:v>
      </x:c>
      <x:c r="G25" s="26" t="str">
        <x:v>Not Started</x:v>
      </x:c>
      <x:c r="H25" s="26" t="str">
        <x:f>IF(G25="Not Needed","Not Needed",IF(G25="Complete","Complete",IF(G25="Blocked","Blocked",IF(G25="At Risk","At Risk",IF(OR(E25="",F25=""),"Schedule TBD",IF(F25&lt;'Overview'!$B$8,"Late",IF(E25&lt;='Overview'!$B$8+2,"Due Soon","On Track")))))))</x:f>
        <x:v>Due Soon</x:v>
      </x:c>
      <x:c r="I25" s="30" t="str"/>
      <x:c r="J25" s="30" t="str"/>
      <x:c r="K25" s="27" t="str"/>
      <x:c r="L25" s="27" t="str">
        <x:v>​1.15</x:v>
      </x:c>
      <x:c r="M25" s="28" t="n">
        <x:f>IF(OR(E25="",F25=""),"",F25-E25+1)</x:f>
        <x:v>1</x:v>
      </x:c>
      <x:c r="N25" s="29" t="str"/>
      <x:c r="O25" s="27" t="str"/>
      <x:c r="P25" s="20" t="n">
        <x:f>IF(AND(G25&lt;&gt;"Not Needed",G25&lt;&gt;"Complete",OR(G25="Blocked",G25="At Risk",G25="In Progress",H25="Late",H25="Due Soon")),COUNT($P$6:P24)+1,"")</x:f>
        <x:v>19</x:v>
      </x:c>
    </x:row>
    <x:row r="26" ht="24" customHeight="1">
      <x:c r="A26" s="21" t="str">
        <x:v>​1.20</x:v>
      </x:c>
      <x:c r="B26" s="24" t="str">
        <x:v>Project Initiation</x:v>
      </x:c>
      <x:c r="C26" s="24" t="str">
        <x:v>Kickoff meeting</x:v>
      </x:c>
      <x:c r="D26" s="24" t="str">
        <x:v>PM</x:v>
      </x:c>
      <x:c r="E26" s="25" t="n">
        <x:v>2</x:v>
      </x:c>
      <x:c r="F26" s="25" t="n">
        <x:v>2</x:v>
      </x:c>
      <x:c r="G26" s="26" t="str">
        <x:v>Not Started</x:v>
      </x:c>
      <x:c r="H26" s="26" t="str">
        <x:f>IF(G26="Not Needed","Not Needed",IF(G26="Complete","Complete",IF(G26="Blocked","Blocked",IF(G26="At Risk","At Risk",IF(OR(E26="",F26=""),"Schedule TBD",IF(F26&lt;'Overview'!$B$8,"Late",IF(E26&lt;='Overview'!$B$8+2,"Due Soon","On Track")))))))</x:f>
        <x:v>Due Soon</x:v>
      </x:c>
      <x:c r="I26" s="30" t="str"/>
      <x:c r="J26" s="30" t="str"/>
      <x:c r="K26" s="27" t="str"/>
      <x:c r="L26" s="27" t="str">
        <x:v>​1.1–1.19</x:v>
      </x:c>
      <x:c r="M26" s="28" t="n">
        <x:f>IF(OR(E26="",F26=""),"",F26-E26+1)</x:f>
        <x:v>1</x:v>
      </x:c>
      <x:c r="N26" s="29" t="str">
        <x:v>Milestone</x:v>
      </x:c>
      <x:c r="O26" s="27" t="str"/>
      <x:c r="P26" s="20" t="n">
        <x:f>IF(AND(G26&lt;&gt;"Not Needed",G26&lt;&gt;"Complete",OR(G26="Blocked",G26="At Risk",G26="In Progress",H26="Late",H26="Due Soon")),COUNT($P$6:P25)+1,"")</x:f>
        <x:v>20</x:v>
      </x:c>
    </x:row>
    <x:row r="27" ht="24" customHeight="1">
      <x:c r="A27" s="21" t="str">
        <x:v>​2.1</x:v>
      </x:c>
      <x:c r="B27" s="24" t="str">
        <x:v>Business &amp; Product Definition</x:v>
      </x:c>
      <x:c r="C27" s="24" t="str">
        <x:v>Define business objectives</x:v>
      </x:c>
      <x:c r="D27" s="24" t="str">
        <x:v>Product</x:v>
      </x:c>
      <x:c r="E27" s="25" t="n">
        <x:v>1</x:v>
      </x:c>
      <x:c r="F27" s="25" t="n">
        <x:v>1</x:v>
      </x:c>
      <x:c r="G27" s="26" t="str">
        <x:v>Not Started</x:v>
      </x:c>
      <x:c r="H27" s="26" t="str">
        <x:f>IF(G27="Not Needed","Not Needed",IF(G27="Complete","Complete",IF(G27="Blocked","Blocked",IF(G27="At Risk","At Risk",IF(OR(E27="",F27=""),"Schedule TBD",IF(F27&lt;'Overview'!$B$8,"Late",IF(E27&lt;='Overview'!$B$8+2,"Due Soon","On Track")))))))</x:f>
        <x:v>Due Soon</x:v>
      </x:c>
      <x:c r="I27" s="30" t="str"/>
      <x:c r="J27" s="30" t="str"/>
      <x:c r="K27" s="27" t="str"/>
      <x:c r="L27" s="27" t="str">
        <x:v>​1.11</x:v>
      </x:c>
      <x:c r="M27" s="28" t="n">
        <x:f>IF(OR(E27="",F27=""),"",F27-E27+1)</x:f>
        <x:v>1</x:v>
      </x:c>
      <x:c r="N27" s="29" t="str"/>
      <x:c r="O27" s="27" t="str"/>
      <x:c r="P27" s="20" t="n">
        <x:f>IF(AND(G27&lt;&gt;"Not Needed",G27&lt;&gt;"Complete",OR(G27="Blocked",G27="At Risk",G27="In Progress",H27="Late",H27="Due Soon")),COUNT($P$6:P26)+1,"")</x:f>
        <x:v>21</x:v>
      </x:c>
    </x:row>
    <x:row r="28" ht="24" customHeight="1">
      <x:c r="A28" s="21" t="str">
        <x:v>​2.2</x:v>
      </x:c>
      <x:c r="B28" s="24" t="str">
        <x:v>Business &amp; Product Definition</x:v>
      </x:c>
      <x:c r="C28" s="24" t="str">
        <x:v>Define customer value proposition</x:v>
      </x:c>
      <x:c r="D28" s="24" t="str">
        <x:v>Product</x:v>
      </x:c>
      <x:c r="E28" s="25" t="n">
        <x:v>1</x:v>
      </x:c>
      <x:c r="F28" s="25" t="n">
        <x:v>1</x:v>
      </x:c>
      <x:c r="G28" s="26" t="str">
        <x:v>Not Started</x:v>
      </x:c>
      <x:c r="H28" s="26" t="str">
        <x:f>IF(G28="Not Needed","Not Needed",IF(G28="Complete","Complete",IF(G28="Blocked","Blocked",IF(G28="At Risk","At Risk",IF(OR(E28="",F28=""),"Schedule TBD",IF(F28&lt;'Overview'!$B$8,"Late",IF(E28&lt;='Overview'!$B$8+2,"Due Soon","On Track")))))))</x:f>
        <x:v>Due Soon</x:v>
      </x:c>
      <x:c r="I28" s="30" t="str"/>
      <x:c r="J28" s="30" t="str"/>
      <x:c r="K28" s="27" t="str">
        <x:v>UX</x:v>
      </x:c>
      <x:c r="L28" s="27" t="str">
        <x:v>​2.1</x:v>
      </x:c>
      <x:c r="M28" s="28" t="n">
        <x:f>IF(OR(E28="",F28=""),"",F28-E28+1)</x:f>
        <x:v>1</x:v>
      </x:c>
      <x:c r="N28" s="29" t="str"/>
      <x:c r="O28" s="27" t="str"/>
      <x:c r="P28" s="20" t="n">
        <x:f>IF(AND(G28&lt;&gt;"Not Needed",G28&lt;&gt;"Complete",OR(G28="Blocked",G28="At Risk",G28="In Progress",H28="Late",H28="Due Soon")),COUNT($P$6:P27)+1,"")</x:f>
        <x:v>22</x:v>
      </x:c>
    </x:row>
    <x:row r="29" ht="24" customHeight="1">
      <x:c r="A29" s="21" t="str">
        <x:v>​2.3</x:v>
      </x:c>
      <x:c r="B29" s="24" t="str">
        <x:v>Business &amp; Product Definition</x:v>
      </x:c>
      <x:c r="C29" s="24" t="str">
        <x:v>Define target customer population</x:v>
      </x:c>
      <x:c r="D29" s="24" t="str">
        <x:v>Product</x:v>
      </x:c>
      <x:c r="E29" s="25" t="n">
        <x:v>1</x:v>
      </x:c>
      <x:c r="F29" s="25" t="n">
        <x:v>1</x:v>
      </x:c>
      <x:c r="G29" s="26" t="str">
        <x:v>Not Started</x:v>
      </x:c>
      <x:c r="H29" s="26" t="str">
        <x:f>IF(G29="Not Needed","Not Needed",IF(G29="Complete","Complete",IF(G29="Blocked","Blocked",IF(G29="At Risk","At Risk",IF(OR(E29="",F29=""),"Schedule TBD",IF(F29&lt;'Overview'!$B$8,"Late",IF(E29&lt;='Overview'!$B$8+2,"Due Soon","On Track")))))))</x:f>
        <x:v>Due Soon</x:v>
      </x:c>
      <x:c r="I29" s="30" t="str"/>
      <x:c r="J29" s="30" t="str"/>
      <x:c r="K29" s="27" t="str"/>
      <x:c r="L29" s="27" t="str">
        <x:v>​2.1</x:v>
      </x:c>
      <x:c r="M29" s="28" t="n">
        <x:f>IF(OR(E29="",F29=""),"",F29-E29+1)</x:f>
        <x:v>1</x:v>
      </x:c>
      <x:c r="N29" s="29" t="str"/>
      <x:c r="O29" s="27" t="str"/>
      <x:c r="P29" s="20" t="n">
        <x:f>IF(AND(G29&lt;&gt;"Not Needed",G29&lt;&gt;"Complete",OR(G29="Blocked",G29="At Risk",G29="In Progress",H29="Late",H29="Due Soon")),COUNT($P$6:P28)+1,"")</x:f>
        <x:v>23</x:v>
      </x:c>
    </x:row>
    <x:row r="30" ht="24" customHeight="1">
      <x:c r="A30" s="21" t="str">
        <x:v>​2.4</x:v>
      </x:c>
      <x:c r="B30" s="24" t="str">
        <x:v>Business &amp; Product Definition</x:v>
      </x:c>
      <x:c r="C30" s="24" t="str">
        <x:v>Confirm eligibility requirements</x:v>
      </x:c>
      <x:c r="D30" s="24" t="str">
        <x:v>Product</x:v>
      </x:c>
      <x:c r="E30" s="25" t="n">
        <x:v>2</x:v>
      </x:c>
      <x:c r="F30" s="25" t="n">
        <x:v>2</x:v>
      </x:c>
      <x:c r="G30" s="26" t="str">
        <x:v>Not Started</x:v>
      </x:c>
      <x:c r="H30" s="26" t="str">
        <x:f>IF(G30="Not Needed","Not Needed",IF(G30="Complete","Complete",IF(G30="Blocked","Blocked",IF(G30="At Risk","At Risk",IF(OR(E30="",F30=""),"Schedule TBD",IF(F30&lt;'Overview'!$B$8,"Late",IF(E30&lt;='Overview'!$B$8+2,"Due Soon","On Track")))))))</x:f>
        <x:v>Due Soon</x:v>
      </x:c>
      <x:c r="I30" s="30" t="str"/>
      <x:c r="J30" s="30" t="str"/>
      <x:c r="K30" s="27" t="str">
        <x:v>Compliance</x:v>
      </x:c>
      <x:c r="L30" s="27" t="str">
        <x:v>​2.3</x:v>
      </x:c>
      <x:c r="M30" s="28" t="n">
        <x:f>IF(OR(E30="",F30=""),"",F30-E30+1)</x:f>
        <x:v>1</x:v>
      </x:c>
      <x:c r="N30" s="29" t="str"/>
      <x:c r="O30" s="27" t="str"/>
      <x:c r="P30" s="20" t="n">
        <x:f>IF(AND(G30&lt;&gt;"Not Needed",G30&lt;&gt;"Complete",OR(G30="Blocked",G30="At Risk",G30="In Progress",H30="Late",H30="Due Soon")),COUNT($P$6:P29)+1,"")</x:f>
        <x:v>24</x:v>
      </x:c>
    </x:row>
    <x:row r="31" ht="24" customHeight="1">
      <x:c r="A31" s="21" t="str">
        <x:v>​2.5</x:v>
      </x:c>
      <x:c r="B31" s="24" t="str">
        <x:v>Business &amp; Product Definition</x:v>
      </x:c>
      <x:c r="C31" s="24" t="str">
        <x:v>Define first-release capabilities</x:v>
      </x:c>
      <x:c r="D31" s="24" t="str">
        <x:v>Product</x:v>
      </x:c>
      <x:c r="E31" s="25" t="n">
        <x:v>2</x:v>
      </x:c>
      <x:c r="F31" s="25" t="n">
        <x:v>2</x:v>
      </x:c>
      <x:c r="G31" s="26" t="str">
        <x:v>Not Started</x:v>
      </x:c>
      <x:c r="H31" s="26" t="str">
        <x:f>IF(G31="Not Needed","Not Needed",IF(G31="Complete","Complete",IF(G31="Blocked","Blocked",IF(G31="At Risk","At Risk",IF(OR(E31="",F31=""),"Schedule TBD",IF(F31&lt;'Overview'!$B$8,"Late",IF(E31&lt;='Overview'!$B$8+2,"Due Soon","On Track")))))))</x:f>
        <x:v>Due Soon</x:v>
      </x:c>
      <x:c r="I31" s="30" t="str"/>
      <x:c r="J31" s="30" t="str"/>
      <x:c r="K31" s="27" t="str"/>
      <x:c r="L31" s="27" t="str">
        <x:v>​2.1</x:v>
      </x:c>
      <x:c r="M31" s="28" t="n">
        <x:f>IF(OR(E31="",F31=""),"",F31-E31+1)</x:f>
        <x:v>1</x:v>
      </x:c>
      <x:c r="N31" s="29" t="str"/>
      <x:c r="O31" s="27" t="str"/>
      <x:c r="P31" s="20" t="n">
        <x:f>IF(AND(G31&lt;&gt;"Not Needed",G31&lt;&gt;"Complete",OR(G31="Blocked",G31="At Risk",G31="In Progress",H31="Late",H31="Due Soon")),COUNT($P$6:P30)+1,"")</x:f>
        <x:v>25</x:v>
      </x:c>
    </x:row>
    <x:row r="32" ht="24" customHeight="1">
      <x:c r="A32" s="21" t="str">
        <x:v>​2.6</x:v>
      </x:c>
      <x:c r="B32" s="24" t="str">
        <x:v>Business &amp; Product Definition</x:v>
      </x:c>
      <x:c r="C32" s="24" t="str">
        <x:v>Confirm whether offers are included</x:v>
      </x:c>
      <x:c r="D32" s="24" t="str">
        <x:v>Product</x:v>
      </x:c>
      <x:c r="E32" s="25" t="n">
        <x:v>2</x:v>
      </x:c>
      <x:c r="F32" s="25" t="n">
        <x:v>2</x:v>
      </x:c>
      <x:c r="G32" s="26" t="str">
        <x:v>Not Started</x:v>
      </x:c>
      <x:c r="H32" s="26" t="str">
        <x:f>IF(G32="Not Needed","Not Needed",IF(G32="Complete","Complete",IF(G32="Blocked","Blocked",IF(G32="At Risk","At Risk",IF(OR(E32="",F32=""),"Schedule TBD",IF(F32&lt;'Overview'!$B$8,"Late",IF(E32&lt;='Overview'!$B$8+2,"Due Soon","On Track")))))))</x:f>
        <x:v>Due Soon</x:v>
      </x:c>
      <x:c r="I32" s="30" t="str"/>
      <x:c r="J32" s="30" t="str"/>
      <x:c r="K32" s="27" t="str">
        <x:v>Marketing</x:v>
      </x:c>
      <x:c r="L32" s="27" t="str">
        <x:v>​2.5</x:v>
      </x:c>
      <x:c r="M32" s="28" t="n">
        <x:f>IF(OR(E32="",F32=""),"",F32-E32+1)</x:f>
        <x:v>1</x:v>
      </x:c>
      <x:c r="N32" s="29" t="str"/>
      <x:c r="O32" s="27" t="str"/>
      <x:c r="P32" s="20" t="n">
        <x:f>IF(AND(G32&lt;&gt;"Not Needed",G32&lt;&gt;"Complete",OR(G32="Blocked",G32="At Risk",G32="In Progress",H32="Late",H32="Due Soon")),COUNT($P$6:P31)+1,"")</x:f>
        <x:v>26</x:v>
      </x:c>
    </x:row>
    <x:row r="33" ht="24" customHeight="1">
      <x:c r="A33" s="21" t="str">
        <x:v>​2.7</x:v>
      </x:c>
      <x:c r="B33" s="24" t="str">
        <x:v>Business &amp; Product Definition</x:v>
      </x:c>
      <x:c r="C33" s="24" t="str">
        <x:v>Define web experience</x:v>
      </x:c>
      <x:c r="D33" s="24" t="str">
        <x:v>Product</x:v>
      </x:c>
      <x:c r="E33" s="25" t="n">
        <x:v>2</x:v>
      </x:c>
      <x:c r="F33" s="25" t="n">
        <x:v>2</x:v>
      </x:c>
      <x:c r="G33" s="26" t="str">
        <x:v>Not Started</x:v>
      </x:c>
      <x:c r="H33" s="26" t="str">
        <x:f>IF(G33="Not Needed","Not Needed",IF(G33="Complete","Complete",IF(G33="Blocked","Blocked",IF(G33="At Risk","At Risk",IF(OR(E33="",F33=""),"Schedule TBD",IF(F33&lt;'Overview'!$B$8,"Late",IF(E33&lt;='Overview'!$B$8+2,"Due Soon","On Track")))))))</x:f>
        <x:v>Due Soon</x:v>
      </x:c>
      <x:c r="I33" s="30" t="str"/>
      <x:c r="J33" s="30" t="str"/>
      <x:c r="K33" s="27" t="str">
        <x:v>UX</x:v>
      </x:c>
      <x:c r="L33" s="27" t="str">
        <x:v>​2.5</x:v>
      </x:c>
      <x:c r="M33" s="28" t="n">
        <x:f>IF(OR(E33="",F33=""),"",F33-E33+1)</x:f>
        <x:v>1</x:v>
      </x:c>
      <x:c r="N33" s="29" t="str"/>
      <x:c r="O33" s="27" t="str"/>
      <x:c r="P33" s="20" t="n">
        <x:f>IF(AND(G33&lt;&gt;"Not Needed",G33&lt;&gt;"Complete",OR(G33="Blocked",G33="At Risk",G33="In Progress",H33="Late",H33="Due Soon")),COUNT($P$6:P32)+1,"")</x:f>
        <x:v>27</x:v>
      </x:c>
    </x:row>
    <x:row r="34" ht="24" customHeight="1">
      <x:c r="A34" s="21" t="str">
        <x:v>​2.8</x:v>
      </x:c>
      <x:c r="B34" s="24" t="str">
        <x:v>Business &amp; Product Definition</x:v>
      </x:c>
      <x:c r="C34" s="24" t="str">
        <x:v>Define mobile experience</x:v>
      </x:c>
      <x:c r="D34" s="24" t="str">
        <x:v>Product</x:v>
      </x:c>
      <x:c r="E34" s="25" t="n">
        <x:v>2</x:v>
      </x:c>
      <x:c r="F34" s="25" t="n">
        <x:v>2</x:v>
      </x:c>
      <x:c r="G34" s="26" t="str">
        <x:v>Not Started</x:v>
      </x:c>
      <x:c r="H34" s="26" t="str">
        <x:f>IF(G34="Not Needed","Not Needed",IF(G34="Complete","Complete",IF(G34="Blocked","Blocked",IF(G34="At Risk","At Risk",IF(OR(E34="",F34=""),"Schedule TBD",IF(F34&lt;'Overview'!$B$8,"Late",IF(E34&lt;='Overview'!$B$8+2,"Due Soon","On Track")))))))</x:f>
        <x:v>Due Soon</x:v>
      </x:c>
      <x:c r="I34" s="30" t="str"/>
      <x:c r="J34" s="30" t="str"/>
      <x:c r="K34" s="27" t="str">
        <x:v>UX</x:v>
      </x:c>
      <x:c r="L34" s="27" t="str">
        <x:v>​2.5</x:v>
      </x:c>
      <x:c r="M34" s="28" t="n">
        <x:f>IF(OR(E34="",F34=""),"",F34-E34+1)</x:f>
        <x:v>1</x:v>
      </x:c>
      <x:c r="N34" s="29" t="str"/>
      <x:c r="O34" s="27" t="str"/>
      <x:c r="P34" s="20" t="n">
        <x:f>IF(AND(G34&lt;&gt;"Not Needed",G34&lt;&gt;"Complete",OR(G34="Blocked",G34="At Risk",G34="In Progress",H34="Late",H34="Due Soon")),COUNT($P$6:P33)+1,"")</x:f>
        <x:v>28</x:v>
      </x:c>
    </x:row>
    <x:row r="35" ht="24" customHeight="1">
      <x:c r="A35" s="21" t="str">
        <x:v>​2.9</x:v>
      </x:c>
      <x:c r="B35" s="24" t="str">
        <x:v>Business &amp; Product Definition</x:v>
      </x:c>
      <x:c r="C35" s="24" t="str">
        <x:v>Define enrollment experience</x:v>
      </x:c>
      <x:c r="D35" s="24" t="str">
        <x:v>Product</x:v>
      </x:c>
      <x:c r="E35" s="25" t="n">
        <x:v>2</x:v>
      </x:c>
      <x:c r="F35" s="25" t="n">
        <x:v>2</x:v>
      </x:c>
      <x:c r="G35" s="26" t="str">
        <x:v>Not Started</x:v>
      </x:c>
      <x:c r="H35" s="26" t="str">
        <x:f>IF(G35="Not Needed","Not Needed",IF(G35="Complete","Complete",IF(G35="Blocked","Blocked",IF(G35="At Risk","At Risk",IF(OR(E35="",F35=""),"Schedule TBD",IF(F35&lt;'Overview'!$B$8,"Late",IF(E35&lt;='Overview'!$B$8+2,"Due Soon","On Track")))))))</x:f>
        <x:v>Due Soon</x:v>
      </x:c>
      <x:c r="I35" s="30" t="str"/>
      <x:c r="J35" s="30" t="str"/>
      <x:c r="K35" s="27" t="str">
        <x:v>UX</x:v>
      </x:c>
      <x:c r="L35" s="27" t="str">
        <x:v>​2.5</x:v>
      </x:c>
      <x:c r="M35" s="28" t="n">
        <x:f>IF(OR(E35="",F35=""),"",F35-E35+1)</x:f>
        <x:v>1</x:v>
      </x:c>
      <x:c r="N35" s="29" t="str"/>
      <x:c r="O35" s="27" t="str"/>
      <x:c r="P35" s="20" t="n">
        <x:f>IF(AND(G35&lt;&gt;"Not Needed",G35&lt;&gt;"Complete",OR(G35="Blocked",G35="At Risk",G35="In Progress",H35="Late",H35="Due Soon")),COUNT($P$6:P34)+1,"")</x:f>
        <x:v>29</x:v>
      </x:c>
    </x:row>
    <x:row r="36" ht="24" customHeight="1">
      <x:c r="A36" s="21" t="str">
        <x:v>​2.10</x:v>
      </x:c>
      <x:c r="B36" s="24" t="str">
        <x:v>Business &amp; Product Definition</x:v>
      </x:c>
      <x:c r="C36" s="24" t="str">
        <x:v>Define returning-user experience</x:v>
      </x:c>
      <x:c r="D36" s="24" t="str">
        <x:v>Product</x:v>
      </x:c>
      <x:c r="E36" s="25" t="n">
        <x:v>2</x:v>
      </x:c>
      <x:c r="F36" s="25" t="n">
        <x:v>2</x:v>
      </x:c>
      <x:c r="G36" s="26" t="str">
        <x:v>Not Started</x:v>
      </x:c>
      <x:c r="H36" s="26" t="str">
        <x:f>IF(G36="Not Needed","Not Needed",IF(G36="Complete","Complete",IF(G36="Blocked","Blocked",IF(G36="At Risk","At Risk",IF(OR(E36="",F36=""),"Schedule TBD",IF(F36&lt;'Overview'!$B$8,"Late",IF(E36&lt;='Overview'!$B$8+2,"Due Soon","On Track")))))))</x:f>
        <x:v>Due Soon</x:v>
      </x:c>
      <x:c r="I36" s="30" t="str"/>
      <x:c r="J36" s="30" t="str"/>
      <x:c r="K36" s="27" t="str">
        <x:v>UX</x:v>
      </x:c>
      <x:c r="L36" s="27" t="str">
        <x:v>​2.5</x:v>
      </x:c>
      <x:c r="M36" s="28" t="n">
        <x:f>IF(OR(E36="",F36=""),"",F36-E36+1)</x:f>
        <x:v>1</x:v>
      </x:c>
      <x:c r="N36" s="29" t="str"/>
      <x:c r="O36" s="27" t="str"/>
      <x:c r="P36" s="20" t="n">
        <x:f>IF(AND(G36&lt;&gt;"Not Needed",G36&lt;&gt;"Complete",OR(G36="Blocked",G36="At Risk",G36="In Progress",H36="Late",H36="Due Soon")),COUNT($P$6:P35)+1,"")</x:f>
        <x:v>30</x:v>
      </x:c>
    </x:row>
    <x:row r="37" ht="24" customHeight="1">
      <x:c r="A37" s="21" t="str">
        <x:v>​2.11</x:v>
      </x:c>
      <x:c r="B37" s="24" t="str">
        <x:v>Business &amp; Product Definition</x:v>
      </x:c>
      <x:c r="C37" s="24" t="str">
        <x:v>Define servicing/support experience</x:v>
      </x:c>
      <x:c r="D37" s="24" t="str">
        <x:v>Product</x:v>
      </x:c>
      <x:c r="E37" s="25" t="n">
        <x:v>2</x:v>
      </x:c>
      <x:c r="F37" s="25" t="n">
        <x:v>2</x:v>
      </x:c>
      <x:c r="G37" s="26" t="str">
        <x:v>Not Started</x:v>
      </x:c>
      <x:c r="H37" s="26" t="str">
        <x:f>IF(G37="Not Needed","Not Needed",IF(G37="Complete","Complete",IF(G37="Blocked","Blocked",IF(G37="At Risk","At Risk",IF(OR(E37="",F37=""),"Schedule TBD",IF(F37&lt;'Overview'!$B$8,"Late",IF(E37&lt;='Overview'!$B$8+2,"Due Soon","On Track")))))))</x:f>
        <x:v>Due Soon</x:v>
      </x:c>
      <x:c r="I37" s="30" t="str"/>
      <x:c r="J37" s="30" t="str"/>
      <x:c r="K37" s="27" t="str">
        <x:v>Ops</x:v>
      </x:c>
      <x:c r="L37" s="27" t="str">
        <x:v>​2.5</x:v>
      </x:c>
      <x:c r="M37" s="28" t="n">
        <x:f>IF(OR(E37="",F37=""),"",F37-E37+1)</x:f>
        <x:v>1</x:v>
      </x:c>
      <x:c r="N37" s="29" t="str"/>
      <x:c r="O37" s="27" t="str"/>
      <x:c r="P37" s="20" t="n">
        <x:f>IF(AND(G37&lt;&gt;"Not Needed",G37&lt;&gt;"Complete",OR(G37="Blocked",G37="At Risk",G37="In Progress",H37="Late",H37="Due Soon")),COUNT($P$6:P36)+1,"")</x:f>
        <x:v>31</x:v>
      </x:c>
    </x:row>
    <x:row r="38" ht="24" customHeight="1">
      <x:c r="A38" s="21" t="str">
        <x:v>​2.12</x:v>
      </x:c>
      <x:c r="B38" s="24" t="str">
        <x:v>Business &amp; Product Definition</x:v>
      </x:c>
      <x:c r="C38" s="24" t="str">
        <x:v>Define success KPIs</x:v>
      </x:c>
      <x:c r="D38" s="24" t="str">
        <x:v>Product</x:v>
      </x:c>
      <x:c r="E38" s="25" t="n">
        <x:v>2</x:v>
      </x:c>
      <x:c r="F38" s="25" t="n">
        <x:v>2</x:v>
      </x:c>
      <x:c r="G38" s="26" t="str">
        <x:v>Not Started</x:v>
      </x:c>
      <x:c r="H38" s="26" t="str">
        <x:f>IF(G38="Not Needed","Not Needed",IF(G38="Complete","Complete",IF(G38="Blocked","Blocked",IF(G38="At Risk","At Risk",IF(OR(E38="",F38=""),"Schedule TBD",IF(F38&lt;'Overview'!$B$8,"Late",IF(E38&lt;='Overview'!$B$8+2,"Due Soon","On Track")))))))</x:f>
        <x:v>Due Soon</x:v>
      </x:c>
      <x:c r="I38" s="30" t="str"/>
      <x:c r="J38" s="30" t="str"/>
      <x:c r="K38" s="27" t="str">
        <x:v>Data</x:v>
      </x:c>
      <x:c r="L38" s="27" t="str">
        <x:v>​2.1</x:v>
      </x:c>
      <x:c r="M38" s="28" t="n">
        <x:f>IF(OR(E38="",F38=""),"",F38-E38+1)</x:f>
        <x:v>1</x:v>
      </x:c>
      <x:c r="N38" s="29" t="str"/>
      <x:c r="O38" s="27" t="str"/>
      <x:c r="P38" s="20" t="n">
        <x:f>IF(AND(G38&lt;&gt;"Not Needed",G38&lt;&gt;"Complete",OR(G38="Blocked",G38="At Risk",G38="In Progress",H38="Late",H38="Due Soon")),COUNT($P$6:P37)+1,"")</x:f>
        <x:v>32</x:v>
      </x:c>
    </x:row>
    <x:row r="39" ht="24" customHeight="1">
      <x:c r="A39" s="21" t="str">
        <x:v>​2.13</x:v>
      </x:c>
      <x:c r="B39" s="24" t="str">
        <x:v>Business &amp; Product Definition</x:v>
      </x:c>
      <x:c r="C39" s="24" t="str">
        <x:v>Establish baseline metrics</x:v>
      </x:c>
      <x:c r="D39" s="24" t="str">
        <x:v>Data</x:v>
      </x:c>
      <x:c r="E39" s="25" t="n">
        <x:v>3</x:v>
      </x:c>
      <x:c r="F39" s="25" t="n">
        <x:v>3</x:v>
      </x:c>
      <x:c r="G39" s="26" t="str">
        <x:v>Not Started</x:v>
      </x:c>
      <x:c r="H39" s="26" t="str">
        <x:f>IF(G39="Not Needed","Not Needed",IF(G39="Complete","Complete",IF(G39="Blocked","Blocked",IF(G39="At Risk","At Risk",IF(OR(E39="",F39=""),"Schedule TBD",IF(F39&lt;'Overview'!$B$8,"Late",IF(E39&lt;='Overview'!$B$8+2,"Due Soon","On Track")))))))</x:f>
        <x:v>Due Soon</x:v>
      </x:c>
      <x:c r="I39" s="30" t="str"/>
      <x:c r="J39" s="30" t="str"/>
      <x:c r="K39" s="27" t="str"/>
      <x:c r="L39" s="27" t="str">
        <x:v>​2.12</x:v>
      </x:c>
      <x:c r="M39" s="28" t="n">
        <x:f>IF(OR(E39="",F39=""),"",F39-E39+1)</x:f>
        <x:v>1</x:v>
      </x:c>
      <x:c r="N39" s="29" t="str"/>
      <x:c r="O39" s="27" t="str"/>
      <x:c r="P39" s="20" t="n">
        <x:f>IF(AND(G39&lt;&gt;"Not Needed",G39&lt;&gt;"Complete",OR(G39="Blocked",G39="At Risk",G39="In Progress",H39="Late",H39="Due Soon")),COUNT($P$6:P38)+1,"")</x:f>
        <x:v>33</x:v>
      </x:c>
    </x:row>
    <x:row r="40" ht="24" customHeight="1">
      <x:c r="A40" s="21" t="str">
        <x:v>​2.14</x:v>
      </x:c>
      <x:c r="B40" s="24" t="str">
        <x:v>Business &amp; Product Definition</x:v>
      </x:c>
      <x:c r="C40" s="24" t="str">
        <x:v>Finalize product requirements</x:v>
      </x:c>
      <x:c r="D40" s="24" t="str">
        <x:v>Product</x:v>
      </x:c>
      <x:c r="E40" s="25" t="n">
        <x:v>3</x:v>
      </x:c>
      <x:c r="F40" s="25" t="n">
        <x:v>3</x:v>
      </x:c>
      <x:c r="G40" s="26" t="str">
        <x:v>Not Started</x:v>
      </x:c>
      <x:c r="H40" s="26" t="str">
        <x:f>IF(G40="Not Needed","Not Needed",IF(G40="Complete","Complete",IF(G40="Blocked","Blocked",IF(G40="At Risk","At Risk",IF(OR(E40="",F40=""),"Schedule TBD",IF(F40&lt;'Overview'!$B$8,"Late",IF(E40&lt;='Overview'!$B$8+2,"Due Soon","On Track")))))))</x:f>
        <x:v>Due Soon</x:v>
      </x:c>
      <x:c r="I40" s="30" t="str"/>
      <x:c r="J40" s="30" t="str"/>
      <x:c r="K40" s="27" t="str"/>
      <x:c r="L40" s="27" t="str">
        <x:v>​2.1–2.13</x:v>
      </x:c>
      <x:c r="M40" s="28" t="n">
        <x:f>IF(OR(E40="",F40=""),"",F40-E40+1)</x:f>
        <x:v>1</x:v>
      </x:c>
      <x:c r="N40" s="29" t="str">
        <x:v>Milestone</x:v>
      </x:c>
      <x:c r="O40" s="27" t="str"/>
      <x:c r="P40" s="20" t="n">
        <x:f>IF(AND(G40&lt;&gt;"Not Needed",G40&lt;&gt;"Complete",OR(G40="Blocked",G40="At Risk",G40="In Progress",H40="Late",H40="Due Soon")),COUNT($P$6:P39)+1,"")</x:f>
        <x:v>34</x:v>
      </x:c>
    </x:row>
    <x:row r="41" ht="24" customHeight="1">
      <x:c r="A41" s="21" t="str">
        <x:v>​3.1</x:v>
      </x:c>
      <x:c r="B41" s="24" t="str">
        <x:v>Vendor / Contract Readiness</x:v>
      </x:c>
      <x:c r="C41" s="24" t="str">
        <x:v>Confirm SavvyMoney contract</x:v>
      </x:c>
      <x:c r="D41" s="24" t="str">
        <x:v>Procurement</x:v>
      </x:c>
      <x:c r="E41" s="25" t="n">
        <x:v>1</x:v>
      </x:c>
      <x:c r="F41" s="25" t="n">
        <x:v>1</x:v>
      </x:c>
      <x:c r="G41" s="26" t="str">
        <x:v>Not Started</x:v>
      </x:c>
      <x:c r="H41" s="26" t="str">
        <x:f>IF(G41="Not Needed","Not Needed",IF(G41="Complete","Complete",IF(G41="Blocked","Blocked",IF(G41="At Risk","At Risk",IF(OR(E41="",F41=""),"Schedule TBD",IF(F41&lt;'Overview'!$B$8,"Late",IF(E41&lt;='Overview'!$B$8+2,"Due Soon","On Track")))))))</x:f>
        <x:v>Due Soon</x:v>
      </x:c>
      <x:c r="I41" s="30" t="str"/>
      <x:c r="J41" s="30" t="str"/>
      <x:c r="K41" s="27" t="str"/>
      <x:c r="L41" s="27" t="str">
        <x:v>—</x:v>
      </x:c>
      <x:c r="M41" s="28" t="n">
        <x:f>IF(OR(E41="",F41=""),"",F41-E41+1)</x:f>
        <x:v>1</x:v>
      </x:c>
      <x:c r="N41" s="29" t="str"/>
      <x:c r="O41" s="27" t="str"/>
      <x:c r="P41" s="20" t="n">
        <x:f>IF(AND(G41&lt;&gt;"Not Needed",G41&lt;&gt;"Complete",OR(G41="Blocked",G41="At Risk",G41="In Progress",H41="Late",H41="Due Soon")),COUNT($P$6:P40)+1,"")</x:f>
        <x:v>35</x:v>
      </x:c>
    </x:row>
    <x:row r="42" ht="24" customHeight="1">
      <x:c r="A42" s="21" t="str">
        <x:v>​3.2</x:v>
      </x:c>
      <x:c r="B42" s="24" t="str">
        <x:v>Vendor / Contract Readiness</x:v>
      </x:c>
      <x:c r="C42" s="24" t="str">
        <x:v>Confirm licensed capabilities</x:v>
      </x:c>
      <x:c r="D42" s="24" t="str">
        <x:v>Procurement</x:v>
      </x:c>
      <x:c r="E42" s="25" t="n">
        <x:v>1</x:v>
      </x:c>
      <x:c r="F42" s="25" t="n">
        <x:v>1</x:v>
      </x:c>
      <x:c r="G42" s="26" t="str">
        <x:v>Not Started</x:v>
      </x:c>
      <x:c r="H42" s="26" t="str">
        <x:f>IF(G42="Not Needed","Not Needed",IF(G42="Complete","Complete",IF(G42="Blocked","Blocked",IF(G42="At Risk","At Risk",IF(OR(E42="",F42=""),"Schedule TBD",IF(F42&lt;'Overview'!$B$8,"Late",IF(E42&lt;='Overview'!$B$8+2,"Due Soon","On Track")))))))</x:f>
        <x:v>Due Soon</x:v>
      </x:c>
      <x:c r="I42" s="30" t="str"/>
      <x:c r="J42" s="30" t="str"/>
      <x:c r="K42" s="27" t="str">
        <x:v>Product</x:v>
      </x:c>
      <x:c r="L42" s="27" t="str">
        <x:v>​3.1</x:v>
      </x:c>
      <x:c r="M42" s="28" t="n">
        <x:f>IF(OR(E42="",F42=""),"",F42-E42+1)</x:f>
        <x:v>1</x:v>
      </x:c>
      <x:c r="N42" s="29" t="str"/>
      <x:c r="O42" s="27" t="str"/>
      <x:c r="P42" s="20" t="n">
        <x:f>IF(AND(G42&lt;&gt;"Not Needed",G42&lt;&gt;"Complete",OR(G42="Blocked",G42="At Risk",G42="In Progress",H42="Late",H42="Due Soon")),COUNT($P$6:P41)+1,"")</x:f>
        <x:v>36</x:v>
      </x:c>
    </x:row>
    <x:row r="43" ht="24" customHeight="1">
      <x:c r="A43" s="21" t="str">
        <x:v>​3.3</x:v>
      </x:c>
      <x:c r="B43" s="24" t="str">
        <x:v>Vendor / Contract Readiness</x:v>
      </x:c>
      <x:c r="C43" s="24" t="str">
        <x:v>Review Fiserv dependencies</x:v>
      </x:c>
      <x:c r="D43" s="24" t="str">
        <x:v>PM</x:v>
      </x:c>
      <x:c r="E43" s="25" t="n">
        <x:v>1</x:v>
      </x:c>
      <x:c r="F43" s="25" t="n">
        <x:v>1</x:v>
      </x:c>
      <x:c r="G43" s="26" t="str">
        <x:v>Not Started</x:v>
      </x:c>
      <x:c r="H43" s="26" t="str">
        <x:f>IF(G43="Not Needed","Not Needed",IF(G43="Complete","Complete",IF(G43="Blocked","Blocked",IF(G43="At Risk","At Risk",IF(OR(E43="",F43=""),"Schedule TBD",IF(F43&lt;'Overview'!$B$8,"Late",IF(E43&lt;='Overview'!$B$8+2,"Due Soon","On Track")))))))</x:f>
        <x:v>Due Soon</x:v>
      </x:c>
      <x:c r="I43" s="30" t="str"/>
      <x:c r="J43" s="30" t="str"/>
      <x:c r="K43" s="27" t="str">
        <x:v>Technology</x:v>
      </x:c>
      <x:c r="L43" s="27" t="str">
        <x:v>​1.4</x:v>
      </x:c>
      <x:c r="M43" s="28" t="n">
        <x:f>IF(OR(E43="",F43=""),"",F43-E43+1)</x:f>
        <x:v>1</x:v>
      </x:c>
      <x:c r="N43" s="29" t="str"/>
      <x:c r="O43" s="27" t="str"/>
      <x:c r="P43" s="20" t="n">
        <x:f>IF(AND(G43&lt;&gt;"Not Needed",G43&lt;&gt;"Complete",OR(G43="Blocked",G43="At Risk",G43="In Progress",H43="Late",H43="Due Soon")),COUNT($P$6:P42)+1,"")</x:f>
        <x:v>37</x:v>
      </x:c>
    </x:row>
    <x:row r="44" ht="24" customHeight="1">
      <x:c r="A44" s="21" t="str">
        <x:v>​3.4</x:v>
      </x:c>
      <x:c r="B44" s="24" t="str">
        <x:v>Vendor / Contract Readiness</x:v>
      </x:c>
      <x:c r="C44" s="24" t="str">
        <x:v>Confirm implementation fees</x:v>
      </x:c>
      <x:c r="D44" s="24" t="str">
        <x:v>Procurement</x:v>
      </x:c>
      <x:c r="E44" s="25" t="n">
        <x:v>2</x:v>
      </x:c>
      <x:c r="F44" s="25" t="n">
        <x:v>2</x:v>
      </x:c>
      <x:c r="G44" s="26" t="str">
        <x:v>Not Started</x:v>
      </x:c>
      <x:c r="H44" s="26" t="str">
        <x:f>IF(G44="Not Needed","Not Needed",IF(G44="Complete","Complete",IF(G44="Blocked","Blocked",IF(G44="At Risk","At Risk",IF(OR(E44="",F44=""),"Schedule TBD",IF(F44&lt;'Overview'!$B$8,"Late",IF(E44&lt;='Overview'!$B$8+2,"Due Soon","On Track")))))))</x:f>
        <x:v>Due Soon</x:v>
      </x:c>
      <x:c r="I44" s="30" t="str"/>
      <x:c r="J44" s="30" t="str"/>
      <x:c r="K44" s="27" t="str"/>
      <x:c r="L44" s="27" t="str">
        <x:v>​3.1, 3.3</x:v>
      </x:c>
      <x:c r="M44" s="28" t="n">
        <x:f>IF(OR(E44="",F44=""),"",F44-E44+1)</x:f>
        <x:v>1</x:v>
      </x:c>
      <x:c r="N44" s="29" t="str"/>
      <x:c r="O44" s="27" t="str"/>
      <x:c r="P44" s="20" t="n">
        <x:f>IF(AND(G44&lt;&gt;"Not Needed",G44&lt;&gt;"Complete",OR(G44="Blocked",G44="At Risk",G44="In Progress",H44="Late",H44="Due Soon")),COUNT($P$6:P43)+1,"")</x:f>
        <x:v>38</x:v>
      </x:c>
    </x:row>
    <x:row r="45" ht="24" customHeight="1">
      <x:c r="A45" s="21" t="str">
        <x:v>​3.5</x:v>
      </x:c>
      <x:c r="B45" s="24" t="str">
        <x:v>Vendor / Contract Readiness</x:v>
      </x:c>
      <x:c r="C45" s="24" t="str">
        <x:v>Confirm production/support SLAs</x:v>
      </x:c>
      <x:c r="D45" s="24" t="str">
        <x:v>Vendor Mgmt</x:v>
      </x:c>
      <x:c r="E45" s="25" t="n">
        <x:v>2</x:v>
      </x:c>
      <x:c r="F45" s="25" t="n">
        <x:v>2</x:v>
      </x:c>
      <x:c r="G45" s="26" t="str">
        <x:v>Not Started</x:v>
      </x:c>
      <x:c r="H45" s="26" t="str">
        <x:f>IF(G45="Not Needed","Not Needed",IF(G45="Complete","Complete",IF(G45="Blocked","Blocked",IF(G45="At Risk","At Risk",IF(OR(E45="",F45=""),"Schedule TBD",IF(F45&lt;'Overview'!$B$8,"Late",IF(E45&lt;='Overview'!$B$8+2,"Due Soon","On Track")))))))</x:f>
        <x:v>Due Soon</x:v>
      </x:c>
      <x:c r="I45" s="30" t="str"/>
      <x:c r="J45" s="30" t="str"/>
      <x:c r="K45" s="27" t="str"/>
      <x:c r="L45" s="27" t="str">
        <x:v>​3.1</x:v>
      </x:c>
      <x:c r="M45" s="28" t="n">
        <x:f>IF(OR(E45="",F45=""),"",F45-E45+1)</x:f>
        <x:v>1</x:v>
      </x:c>
      <x:c r="N45" s="29" t="str"/>
      <x:c r="O45" s="27" t="str"/>
      <x:c r="P45" s="20" t="n">
        <x:f>IF(AND(G45&lt;&gt;"Not Needed",G45&lt;&gt;"Complete",OR(G45="Blocked",G45="At Risk",G45="In Progress",H45="Late",H45="Due Soon")),COUNT($P$6:P44)+1,"")</x:f>
        <x:v>39</x:v>
      </x:c>
    </x:row>
    <x:row r="46" ht="24" customHeight="1">
      <x:c r="A46" s="21" t="str">
        <x:v>​3.6</x:v>
      </x:c>
      <x:c r="B46" s="24" t="str">
        <x:v>Vendor / Contract Readiness</x:v>
      </x:c>
      <x:c r="C46" s="24" t="str">
        <x:v>Confirm data responsibilities</x:v>
      </x:c>
      <x:c r="D46" s="24" t="str">
        <x:v>Security</x:v>
      </x:c>
      <x:c r="E46" s="25" t="n">
        <x:v>2</x:v>
      </x:c>
      <x:c r="F46" s="25" t="n">
        <x:v>2</x:v>
      </x:c>
      <x:c r="G46" s="26" t="str">
        <x:v>Not Started</x:v>
      </x:c>
      <x:c r="H46" s="26" t="str">
        <x:f>IF(G46="Not Needed","Not Needed",IF(G46="Complete","Complete",IF(G46="Blocked","Blocked",IF(G46="At Risk","At Risk",IF(OR(E46="",F46=""),"Schedule TBD",IF(F46&lt;'Overview'!$B$8,"Late",IF(E46&lt;='Overview'!$B$8+2,"Due Soon","On Track")))))))</x:f>
        <x:v>Due Soon</x:v>
      </x:c>
      <x:c r="I46" s="30" t="str"/>
      <x:c r="J46" s="30" t="str"/>
      <x:c r="K46" s="27" t="str">
        <x:v>Legal</x:v>
      </x:c>
      <x:c r="L46" s="27" t="str">
        <x:v>​3.1</x:v>
      </x:c>
      <x:c r="M46" s="28" t="n">
        <x:f>IF(OR(E46="",F46=""),"",F46-E46+1)</x:f>
        <x:v>1</x:v>
      </x:c>
      <x:c r="N46" s="29" t="str"/>
      <x:c r="O46" s="27" t="str"/>
      <x:c r="P46" s="20" t="n">
        <x:f>IF(AND(G46&lt;&gt;"Not Needed",G46&lt;&gt;"Complete",OR(G46="Blocked",G46="At Risk",G46="In Progress",H46="Late",H46="Due Soon")),COUNT($P$6:P45)+1,"")</x:f>
        <x:v>40</x:v>
      </x:c>
    </x:row>
    <x:row r="47" ht="24" customHeight="1">
      <x:c r="A47" s="21" t="str">
        <x:v>​3.7</x:v>
      </x:c>
      <x:c r="B47" s="24" t="str">
        <x:v>Vendor / Contract Readiness</x:v>
      </x:c>
      <x:c r="C47" s="24" t="str">
        <x:v>Complete vendor risk review</x:v>
      </x:c>
      <x:c r="D47" s="24" t="str">
        <x:v>Vendor Mgmt</x:v>
      </x:c>
      <x:c r="E47" s="25" t="n">
        <x:v>3</x:v>
      </x:c>
      <x:c r="F47" s="25" t="n">
        <x:v>3</x:v>
      </x:c>
      <x:c r="G47" s="26" t="str">
        <x:v>Not Started</x:v>
      </x:c>
      <x:c r="H47" s="26" t="str">
        <x:f>IF(G47="Not Needed","Not Needed",IF(G47="Complete","Complete",IF(G47="Blocked","Blocked",IF(G47="At Risk","At Risk",IF(OR(E47="",F47=""),"Schedule TBD",IF(F47&lt;'Overview'!$B$8,"Late",IF(E47&lt;='Overview'!$B$8+2,"Due Soon","On Track")))))))</x:f>
        <x:v>Due Soon</x:v>
      </x:c>
      <x:c r="I47" s="30" t="str"/>
      <x:c r="J47" s="30" t="str"/>
      <x:c r="K47" s="27" t="str"/>
      <x:c r="L47" s="27" t="str">
        <x:v>​3.1</x:v>
      </x:c>
      <x:c r="M47" s="28" t="n">
        <x:f>IF(OR(E47="",F47=""),"",F47-E47+1)</x:f>
        <x:v>1</x:v>
      </x:c>
      <x:c r="N47" s="29" t="str"/>
      <x:c r="O47" s="27" t="str"/>
      <x:c r="P47" s="20" t="n">
        <x:f>IF(AND(G47&lt;&gt;"Not Needed",G47&lt;&gt;"Complete",OR(G47="Blocked",G47="At Risk",G47="In Progress",H47="Late",H47="Due Soon")),COUNT($P$6:P46)+1,"")</x:f>
        <x:v>41</x:v>
      </x:c>
    </x:row>
    <x:row r="48" ht="24" customHeight="1">
      <x:c r="A48" s="21" t="str">
        <x:v>​3.8</x:v>
      </x:c>
      <x:c r="B48" s="24" t="str">
        <x:v>Vendor / Contract Readiness</x:v>
      </x:c>
      <x:c r="C48" s="24" t="str">
        <x:v>Resolve contract gaps</x:v>
      </x:c>
      <x:c r="D48" s="24" t="str">
        <x:v>Legal</x:v>
      </x:c>
      <x:c r="E48" s="25" t="n">
        <x:v>4</x:v>
      </x:c>
      <x:c r="F48" s="25" t="n">
        <x:v>4</x:v>
      </x:c>
      <x:c r="G48" s="26" t="str">
        <x:v>Not Started</x:v>
      </x:c>
      <x:c r="H48" s="26" t="str">
        <x:f>IF(G48="Not Needed","Not Needed",IF(G48="Complete","Complete",IF(G48="Blocked","Blocked",IF(G48="At Risk","At Risk",IF(OR(E48="",F48=""),"Schedule TBD",IF(F48&lt;'Overview'!$B$8,"Late",IF(E48&lt;='Overview'!$B$8+2,"Due Soon","On Track")))))))</x:f>
        <x:v>On Track</x:v>
      </x:c>
      <x:c r="I48" s="30" t="str"/>
      <x:c r="J48" s="30" t="str"/>
      <x:c r="K48" s="27" t="str">
        <x:v>Procurement</x:v>
      </x:c>
      <x:c r="L48" s="27" t="str">
        <x:v>​3.1–3.7</x:v>
      </x:c>
      <x:c r="M48" s="28" t="n">
        <x:f>IF(OR(E48="",F48=""),"",F48-E48+1)</x:f>
        <x:v>1</x:v>
      </x:c>
      <x:c r="N48" s="29" t="str"/>
      <x:c r="O48" s="27" t="str"/>
      <x:c r="P48" s="20" t="str">
        <x:f>IF(AND(G48&lt;&gt;"Not Needed",G48&lt;&gt;"Complete",OR(G48="Blocked",G48="At Risk",G48="In Progress",H48="Late",H48="Due Soon")),COUNT($P$6:P47)+1,"")</x:f>
      </x:c>
    </x:row>
    <x:row r="49" ht="24" customHeight="1">
      <x:c r="A49" s="21" t="str">
        <x:v>​4.1</x:v>
      </x:c>
      <x:c r="B49" s="24" t="str">
        <x:v>Technical Discovery</x:v>
      </x:c>
      <x:c r="C49" s="24" t="str">
        <x:v>Document current Fiserv OLB environment</x:v>
      </x:c>
      <x:c r="D49" s="24" t="str">
        <x:v>Client Tech</x:v>
      </x:c>
      <x:c r="E49" s="25" t="n">
        <x:v>2</x:v>
      </x:c>
      <x:c r="F49" s="25" t="n">
        <x:v>2</x:v>
      </x:c>
      <x:c r="G49" s="26" t="str">
        <x:v>Not Started</x:v>
      </x:c>
      <x:c r="H49" s="26" t="str">
        <x:f>IF(G49="Not Needed","Not Needed",IF(G49="Complete","Complete",IF(G49="Blocked","Blocked",IF(G49="At Risk","At Risk",IF(OR(E49="",F49=""),"Schedule TBD",IF(F49&lt;'Overview'!$B$8,"Late",IF(E49&lt;='Overview'!$B$8+2,"Due Soon","On Track")))))))</x:f>
        <x:v>Due Soon</x:v>
      </x:c>
      <x:c r="I49" s="30" t="str"/>
      <x:c r="J49" s="30" t="str"/>
      <x:c r="K49" s="27" t="str"/>
      <x:c r="L49" s="27" t="str">
        <x:v>​1.20</x:v>
      </x:c>
      <x:c r="M49" s="28" t="n">
        <x:f>IF(OR(E49="",F49=""),"",F49-E49+1)</x:f>
        <x:v>1</x:v>
      </x:c>
      <x:c r="N49" s="29" t="str"/>
      <x:c r="O49" s="27" t="str"/>
      <x:c r="P49" s="20" t="n">
        <x:f>IF(AND(G49&lt;&gt;"Not Needed",G49&lt;&gt;"Complete",OR(G49="Blocked",G49="At Risk",G49="In Progress",H49="Late",H49="Due Soon")),COUNT($P$6:P48)+1,"")</x:f>
        <x:v>42</x:v>
      </x:c>
    </x:row>
    <x:row r="50" ht="24" customHeight="1">
      <x:c r="A50" s="21" t="str">
        <x:v>​4.2</x:v>
      </x:c>
      <x:c r="B50" s="24" t="str">
        <x:v>Technical Discovery</x:v>
      </x:c>
      <x:c r="C50" s="24" t="str">
        <x:v>Confirm Fiserv OLB version/configuration</x:v>
      </x:c>
      <x:c r="D50" s="24" t="str">
        <x:v>Fiserv</x:v>
      </x:c>
      <x:c r="E50" s="25" t="n">
        <x:v>2</x:v>
      </x:c>
      <x:c r="F50" s="25" t="n">
        <x:v>2</x:v>
      </x:c>
      <x:c r="G50" s="26" t="str">
        <x:v>Not Started</x:v>
      </x:c>
      <x:c r="H50" s="26" t="str">
        <x:f>IF(G50="Not Needed","Not Needed",IF(G50="Complete","Complete",IF(G50="Blocked","Blocked",IF(G50="At Risk","At Risk",IF(OR(E50="",F50=""),"Schedule TBD",IF(F50&lt;'Overview'!$B$8,"Late",IF(E50&lt;='Overview'!$B$8+2,"Due Soon","On Track")))))))</x:f>
        <x:v>Due Soon</x:v>
      </x:c>
      <x:c r="I50" s="30" t="str"/>
      <x:c r="J50" s="30" t="str"/>
      <x:c r="K50" s="27" t="str"/>
      <x:c r="L50" s="27" t="str">
        <x:v>​4.1</x:v>
      </x:c>
      <x:c r="M50" s="28" t="n">
        <x:f>IF(OR(E50="",F50=""),"",F50-E50+1)</x:f>
        <x:v>1</x:v>
      </x:c>
      <x:c r="N50" s="29" t="str"/>
      <x:c r="O50" s="27" t="str"/>
      <x:c r="P50" s="20" t="n">
        <x:f>IF(AND(G50&lt;&gt;"Not Needed",G50&lt;&gt;"Complete",OR(G50="Blocked",G50="At Risk",G50="In Progress",H50="Late",H50="Due Soon")),COUNT($P$6:P49)+1,"")</x:f>
        <x:v>43</x:v>
      </x:c>
    </x:row>
    <x:row r="51" ht="24" customHeight="1">
      <x:c r="A51" s="21" t="str">
        <x:v>​4.3</x:v>
      </x:c>
      <x:c r="B51" s="24" t="str">
        <x:v>Technical Discovery</x:v>
      </x:c>
      <x:c r="C51" s="24" t="str">
        <x:v>Review Credit Sense architecture</x:v>
      </x:c>
      <x:c r="D51" s="24" t="str">
        <x:v>SavvyMoney</x:v>
      </x:c>
      <x:c r="E51" s="25" t="n">
        <x:v>2</x:v>
      </x:c>
      <x:c r="F51" s="25" t="n">
        <x:v>2</x:v>
      </x:c>
      <x:c r="G51" s="26" t="str">
        <x:v>Not Started</x:v>
      </x:c>
      <x:c r="H51" s="26" t="str">
        <x:f>IF(G51="Not Needed","Not Needed",IF(G51="Complete","Complete",IF(G51="Blocked","Blocked",IF(G51="At Risk","At Risk",IF(OR(E51="",F51=""),"Schedule TBD",IF(F51&lt;'Overview'!$B$8,"Late",IF(E51&lt;='Overview'!$B$8+2,"Due Soon","On Track")))))))</x:f>
        <x:v>Due Soon</x:v>
      </x:c>
      <x:c r="I51" s="30" t="str"/>
      <x:c r="J51" s="30" t="str"/>
      <x:c r="K51" s="27" t="str"/>
      <x:c r="L51" s="27" t="str">
        <x:v>​1.20</x:v>
      </x:c>
      <x:c r="M51" s="28" t="n">
        <x:f>IF(OR(E51="",F51=""),"",F51-E51+1)</x:f>
        <x:v>1</x:v>
      </x:c>
      <x:c r="N51" s="29" t="str"/>
      <x:c r="O51" s="27" t="str"/>
      <x:c r="P51" s="20" t="n">
        <x:f>IF(AND(G51&lt;&gt;"Not Needed",G51&lt;&gt;"Complete",OR(G51="Blocked",G51="At Risk",G51="In Progress",H51="Late",H51="Due Soon")),COUNT($P$6:P50)+1,"")</x:f>
        <x:v>44</x:v>
      </x:c>
    </x:row>
    <x:row r="52" ht="24" customHeight="1">
      <x:c r="A52" s="21" t="str">
        <x:v>​4.4</x:v>
      </x:c>
      <x:c r="B52" s="24" t="str">
        <x:v>Technical Discovery</x:v>
      </x:c>
      <x:c r="C52" s="24" t="str">
        <x:v>Confirm integration method</x:v>
      </x:c>
      <x:c r="D52" s="24" t="str">
        <x:v>Fiserv</x:v>
      </x:c>
      <x:c r="E52" s="25" t="n">
        <x:v>2</x:v>
      </x:c>
      <x:c r="F52" s="25" t="n">
        <x:v>2</x:v>
      </x:c>
      <x:c r="G52" s="26" t="str">
        <x:v>Not Started</x:v>
      </x:c>
      <x:c r="H52" s="26" t="str">
        <x:f>IF(G52="Not Needed","Not Needed",IF(G52="Complete","Complete",IF(G52="Blocked","Blocked",IF(G52="At Risk","At Risk",IF(OR(E52="",F52=""),"Schedule TBD",IF(F52&lt;'Overview'!$B$8,"Late",IF(E52&lt;='Overview'!$B$8+2,"Due Soon","On Track")))))))</x:f>
        <x:v>Due Soon</x:v>
      </x:c>
      <x:c r="I52" s="30" t="str"/>
      <x:c r="J52" s="30" t="str"/>
      <x:c r="K52" s="27" t="str">
        <x:v>SavvyMoney</x:v>
      </x:c>
      <x:c r="L52" s="27" t="str">
        <x:v>​4.1–4.3</x:v>
      </x:c>
      <x:c r="M52" s="28" t="n">
        <x:f>IF(OR(E52="",F52=""),"",F52-E52+1)</x:f>
        <x:v>1</x:v>
      </x:c>
      <x:c r="N52" s="29" t="str"/>
      <x:c r="O52" s="27" t="str"/>
      <x:c r="P52" s="20" t="n">
        <x:f>IF(AND(G52&lt;&gt;"Not Needed",G52&lt;&gt;"Complete",OR(G52="Blocked",G52="At Risk",G52="In Progress",H52="Late",H52="Due Soon")),COUNT($P$6:P51)+1,"")</x:f>
        <x:v>45</x:v>
      </x:c>
    </x:row>
    <x:row r="53" ht="24" customHeight="1">
      <x:c r="A53" s="21" t="str">
        <x:v>​4.5</x:v>
      </x:c>
      <x:c r="B53" s="24" t="str">
        <x:v>Technical Discovery</x:v>
      </x:c>
      <x:c r="C53" s="24" t="str">
        <x:v>Confirm SSO method</x:v>
      </x:c>
      <x:c r="D53" s="24" t="str">
        <x:v>Fiserv</x:v>
      </x:c>
      <x:c r="E53" s="25" t="n">
        <x:v>2</x:v>
      </x:c>
      <x:c r="F53" s="25" t="n">
        <x:v>2</x:v>
      </x:c>
      <x:c r="G53" s="26" t="str">
        <x:v>Not Started</x:v>
      </x:c>
      <x:c r="H53" s="26" t="str">
        <x:f>IF(G53="Not Needed","Not Needed",IF(G53="Complete","Complete",IF(G53="Blocked","Blocked",IF(G53="At Risk","At Risk",IF(OR(E53="",F53=""),"Schedule TBD",IF(F53&lt;'Overview'!$B$8,"Late",IF(E53&lt;='Overview'!$B$8+2,"Due Soon","On Track")))))))</x:f>
        <x:v>Due Soon</x:v>
      </x:c>
      <x:c r="I53" s="30" t="str"/>
      <x:c r="J53" s="30" t="str"/>
      <x:c r="K53" s="27" t="str">
        <x:v>SavvyMoney</x:v>
      </x:c>
      <x:c r="L53" s="27" t="str">
        <x:v>​4.4</x:v>
      </x:c>
      <x:c r="M53" s="28" t="n">
        <x:f>IF(OR(E53="",F53=""),"",F53-E53+1)</x:f>
        <x:v>1</x:v>
      </x:c>
      <x:c r="N53" s="29" t="str"/>
      <x:c r="O53" s="27" t="str"/>
      <x:c r="P53" s="20" t="n">
        <x:f>IF(AND(G53&lt;&gt;"Not Needed",G53&lt;&gt;"Complete",OR(G53="Blocked",G53="At Risk",G53="In Progress",H53="Late",H53="Due Soon")),COUNT($P$6:P52)+1,"")</x:f>
        <x:v>46</x:v>
      </x:c>
    </x:row>
    <x:row r="54" ht="24" customHeight="1">
      <x:c r="A54" s="21" t="str">
        <x:v>​4.6</x:v>
      </x:c>
      <x:c r="B54" s="24" t="str">
        <x:v>Technical Discovery</x:v>
      </x:c>
      <x:c r="C54" s="24" t="str">
        <x:v>Identify customer identifiers</x:v>
      </x:c>
      <x:c r="D54" s="24" t="str">
        <x:v>Client Tech</x:v>
      </x:c>
      <x:c r="E54" s="25" t="n">
        <x:v>2</x:v>
      </x:c>
      <x:c r="F54" s="25" t="n">
        <x:v>2</x:v>
      </x:c>
      <x:c r="G54" s="26" t="str">
        <x:v>Not Started</x:v>
      </x:c>
      <x:c r="H54" s="26" t="str">
        <x:f>IF(G54="Not Needed","Not Needed",IF(G54="Complete","Complete",IF(G54="Blocked","Blocked",IF(G54="At Risk","At Risk",IF(OR(E54="",F54=""),"Schedule TBD",IF(F54&lt;'Overview'!$B$8,"Late",IF(E54&lt;='Overview'!$B$8+2,"Due Soon","On Track")))))))</x:f>
        <x:v>Due Soon</x:v>
      </x:c>
      <x:c r="I54" s="30" t="str"/>
      <x:c r="J54" s="30" t="str"/>
      <x:c r="K54" s="27" t="str"/>
      <x:c r="L54" s="27" t="str">
        <x:v>​4.4</x:v>
      </x:c>
      <x:c r="M54" s="28" t="n">
        <x:f>IF(OR(E54="",F54=""),"",F54-E54+1)</x:f>
        <x:v>1</x:v>
      </x:c>
      <x:c r="N54" s="29" t="str"/>
      <x:c r="O54" s="27" t="str"/>
      <x:c r="P54" s="20" t="n">
        <x:f>IF(AND(G54&lt;&gt;"Not Needed",G54&lt;&gt;"Complete",OR(G54="Blocked",G54="At Risk",G54="In Progress",H54="Late",H54="Due Soon")),COUNT($P$6:P53)+1,"")</x:f>
        <x:v>47</x:v>
      </x:c>
    </x:row>
    <x:row r="55" ht="24" customHeight="1">
      <x:c r="A55" s="21" t="str">
        <x:v>​4.7</x:v>
      </x:c>
      <x:c r="B55" s="24" t="str">
        <x:v>Technical Discovery</x:v>
      </x:c>
      <x:c r="C55" s="24" t="str">
        <x:v>Map required customer attributes</x:v>
      </x:c>
      <x:c r="D55" s="24" t="str">
        <x:v>Client</x:v>
      </x:c>
      <x:c r="E55" s="25" t="n">
        <x:v>3</x:v>
      </x:c>
      <x:c r="F55" s="25" t="n">
        <x:v>3</x:v>
      </x:c>
      <x:c r="G55" s="26" t="str">
        <x:v>Not Started</x:v>
      </x:c>
      <x:c r="H55" s="26" t="str">
        <x:f>IF(G55="Not Needed","Not Needed",IF(G55="Complete","Complete",IF(G55="Blocked","Blocked",IF(G55="At Risk","At Risk",IF(OR(E55="",F55=""),"Schedule TBD",IF(F55&lt;'Overview'!$B$8,"Late",IF(E55&lt;='Overview'!$B$8+2,"Due Soon","On Track")))))))</x:f>
        <x:v>Due Soon</x:v>
      </x:c>
      <x:c r="I55" s="30" t="str"/>
      <x:c r="J55" s="30" t="str"/>
      <x:c r="K55" s="27" t="str">
        <x:v>SavvyMoney</x:v>
      </x:c>
      <x:c r="L55" s="27" t="str">
        <x:v>​4.6</x:v>
      </x:c>
      <x:c r="M55" s="28" t="n">
        <x:f>IF(OR(E55="",F55=""),"",F55-E55+1)</x:f>
        <x:v>1</x:v>
      </x:c>
      <x:c r="N55" s="29" t="str"/>
      <x:c r="O55" s="27" t="str"/>
      <x:c r="P55" s="20" t="n">
        <x:f>IF(AND(G55&lt;&gt;"Not Needed",G55&lt;&gt;"Complete",OR(G55="Blocked",G55="At Risk",G55="In Progress",H55="Late",H55="Due Soon")),COUNT($P$6:P54)+1,"")</x:f>
        <x:v>48</x:v>
      </x:c>
    </x:row>
    <x:row r="56" ht="24" customHeight="1">
      <x:c r="A56" s="21" t="str">
        <x:v>​4.8</x:v>
      </x:c>
      <x:c r="B56" s="24" t="str">
        <x:v>Technical Discovery</x:v>
      </x:c>
      <x:c r="C56" s="24" t="str">
        <x:v>Document authentication flow</x:v>
      </x:c>
      <x:c r="D56" s="24" t="str">
        <x:v>Architecture</x:v>
      </x:c>
      <x:c r="E56" s="25" t="n">
        <x:v>3</x:v>
      </x:c>
      <x:c r="F56" s="25" t="n">
        <x:v>3</x:v>
      </x:c>
      <x:c r="G56" s="26" t="str">
        <x:v>Not Started</x:v>
      </x:c>
      <x:c r="H56" s="26" t="str">
        <x:f>IF(G56="Not Needed","Not Needed",IF(G56="Complete","Complete",IF(G56="Blocked","Blocked",IF(G56="At Risk","At Risk",IF(OR(E56="",F56=""),"Schedule TBD",IF(F56&lt;'Overview'!$B$8,"Late",IF(E56&lt;='Overview'!$B$8+2,"Due Soon","On Track")))))))</x:f>
        <x:v>Due Soon</x:v>
      </x:c>
      <x:c r="I56" s="30" t="str"/>
      <x:c r="J56" s="30" t="str"/>
      <x:c r="K56" s="27" t="str"/>
      <x:c r="L56" s="27" t="str">
        <x:v>​4.5</x:v>
      </x:c>
      <x:c r="M56" s="28" t="n">
        <x:f>IF(OR(E56="",F56=""),"",F56-E56+1)</x:f>
        <x:v>1</x:v>
      </x:c>
      <x:c r="N56" s="29" t="str"/>
      <x:c r="O56" s="27" t="str"/>
      <x:c r="P56" s="20" t="n">
        <x:f>IF(AND(G56&lt;&gt;"Not Needed",G56&lt;&gt;"Complete",OR(G56="Blocked",G56="At Risk",G56="In Progress",H56="Late",H56="Due Soon")),COUNT($P$6:P55)+1,"")</x:f>
        <x:v>49</x:v>
      </x:c>
    </x:row>
    <x:row r="57" ht="24" customHeight="1">
      <x:c r="A57" s="21" t="str">
        <x:v>​4.9</x:v>
      </x:c>
      <x:c r="B57" s="24" t="str">
        <x:v>Technical Discovery</x:v>
      </x:c>
      <x:c r="C57" s="24" t="str">
        <x:v>Document enrollment flow</x:v>
      </x:c>
      <x:c r="D57" s="24" t="str">
        <x:v>Architecture</x:v>
      </x:c>
      <x:c r="E57" s="25" t="n">
        <x:v>3</x:v>
      </x:c>
      <x:c r="F57" s="25" t="n">
        <x:v>3</x:v>
      </x:c>
      <x:c r="G57" s="26" t="str">
        <x:v>Not Started</x:v>
      </x:c>
      <x:c r="H57" s="26" t="str">
        <x:f>IF(G57="Not Needed","Not Needed",IF(G57="Complete","Complete",IF(G57="Blocked","Blocked",IF(G57="At Risk","At Risk",IF(OR(E57="",F57=""),"Schedule TBD",IF(F57&lt;'Overview'!$B$8,"Late",IF(E57&lt;='Overview'!$B$8+2,"Due Soon","On Track")))))))</x:f>
        <x:v>Due Soon</x:v>
      </x:c>
      <x:c r="I57" s="30" t="str"/>
      <x:c r="J57" s="30" t="str"/>
      <x:c r="K57" s="27" t="str">
        <x:v>Product</x:v>
      </x:c>
      <x:c r="L57" s="27" t="str">
        <x:v>​4.5</x:v>
      </x:c>
      <x:c r="M57" s="28" t="n">
        <x:f>IF(OR(E57="",F57=""),"",F57-E57+1)</x:f>
        <x:v>1</x:v>
      </x:c>
      <x:c r="N57" s="29" t="str"/>
      <x:c r="O57" s="27" t="str"/>
      <x:c r="P57" s="20" t="n">
        <x:f>IF(AND(G57&lt;&gt;"Not Needed",G57&lt;&gt;"Complete",OR(G57="Blocked",G57="At Risk",G57="In Progress",H57="Late",H57="Due Soon")),COUNT($P$6:P56)+1,"")</x:f>
        <x:v>50</x:v>
      </x:c>
    </x:row>
    <x:row r="58" ht="24" customHeight="1">
      <x:c r="A58" s="21" t="str">
        <x:v>​4.10</x:v>
      </x:c>
      <x:c r="B58" s="24" t="str">
        <x:v>Technical Discovery</x:v>
      </x:c>
      <x:c r="C58" s="24" t="str">
        <x:v>Document data flow</x:v>
      </x:c>
      <x:c r="D58" s="24" t="str">
        <x:v>Architecture</x:v>
      </x:c>
      <x:c r="E58" s="25" t="n">
        <x:v>3</x:v>
      </x:c>
      <x:c r="F58" s="25" t="n">
        <x:v>3</x:v>
      </x:c>
      <x:c r="G58" s="26" t="str">
        <x:v>Not Started</x:v>
      </x:c>
      <x:c r="H58" s="26" t="str">
        <x:f>IF(G58="Not Needed","Not Needed",IF(G58="Complete","Complete",IF(G58="Blocked","Blocked",IF(G58="At Risk","At Risk",IF(OR(E58="",F58=""),"Schedule TBD",IF(F58&lt;'Overview'!$B$8,"Late",IF(E58&lt;='Overview'!$B$8+2,"Due Soon","On Track")))))))</x:f>
        <x:v>Due Soon</x:v>
      </x:c>
      <x:c r="I58" s="30" t="str"/>
      <x:c r="J58" s="30" t="str"/>
      <x:c r="K58" s="27" t="str"/>
      <x:c r="L58" s="27" t="str">
        <x:v>​4.7</x:v>
      </x:c>
      <x:c r="M58" s="28" t="n">
        <x:f>IF(OR(E58="",F58=""),"",F58-E58+1)</x:f>
        <x:v>1</x:v>
      </x:c>
      <x:c r="N58" s="29" t="str"/>
      <x:c r="O58" s="27" t="str"/>
      <x:c r="P58" s="20" t="n">
        <x:f>IF(AND(G58&lt;&gt;"Not Needed",G58&lt;&gt;"Complete",OR(G58="Blocked",G58="At Risk",G58="In Progress",H58="Late",H58="Due Soon")),COUNT($P$6:P57)+1,"")</x:f>
        <x:v>51</x:v>
      </x:c>
    </x:row>
    <x:row r="59" ht="24" customHeight="1">
      <x:c r="A59" s="21" t="str">
        <x:v>​4.11</x:v>
      </x:c>
      <x:c r="B59" s="24" t="str">
        <x:v>Technical Discovery</x:v>
      </x:c>
      <x:c r="C59" s="24" t="str">
        <x:v>Confirm test environment</x:v>
      </x:c>
      <x:c r="D59" s="24" t="str">
        <x:v>Fiserv</x:v>
      </x:c>
      <x:c r="E59" s="25" t="n">
        <x:v>3</x:v>
      </x:c>
      <x:c r="F59" s="25" t="n">
        <x:v>3</x:v>
      </x:c>
      <x:c r="G59" s="26" t="str">
        <x:v>Not Started</x:v>
      </x:c>
      <x:c r="H59" s="26" t="str">
        <x:f>IF(G59="Not Needed","Not Needed",IF(G59="Complete","Complete",IF(G59="Blocked","Blocked",IF(G59="At Risk","At Risk",IF(OR(E59="",F59=""),"Schedule TBD",IF(F59&lt;'Overview'!$B$8,"Late",IF(E59&lt;='Overview'!$B$8+2,"Due Soon","On Track")))))))</x:f>
        <x:v>Due Soon</x:v>
      </x:c>
      <x:c r="I59" s="30" t="str"/>
      <x:c r="J59" s="30" t="str"/>
      <x:c r="K59" s="27" t="str"/>
      <x:c r="L59" s="27" t="str">
        <x:v>​4.4</x:v>
      </x:c>
      <x:c r="M59" s="28" t="n">
        <x:f>IF(OR(E59="",F59=""),"",F59-E59+1)</x:f>
        <x:v>1</x:v>
      </x:c>
      <x:c r="N59" s="29" t="str"/>
      <x:c r="O59" s="27" t="str"/>
      <x:c r="P59" s="20" t="n">
        <x:f>IF(AND(G59&lt;&gt;"Not Needed",G59&lt;&gt;"Complete",OR(G59="Blocked",G59="At Risk",G59="In Progress",H59="Late",H59="Due Soon")),COUNT($P$6:P58)+1,"")</x:f>
        <x:v>52</x:v>
      </x:c>
    </x:row>
    <x:row r="60" ht="24" customHeight="1">
      <x:c r="A60" s="21" t="str">
        <x:v>​4.12</x:v>
      </x:c>
      <x:c r="B60" s="24" t="str">
        <x:v>Technical Discovery</x:v>
      </x:c>
      <x:c r="C60" s="24" t="str">
        <x:v>Confirm production environment</x:v>
      </x:c>
      <x:c r="D60" s="24" t="str">
        <x:v>Fiserv</x:v>
      </x:c>
      <x:c r="E60" s="25" t="n">
        <x:v>3</x:v>
      </x:c>
      <x:c r="F60" s="25" t="n">
        <x:v>3</x:v>
      </x:c>
      <x:c r="G60" s="26" t="str">
        <x:v>Not Started</x:v>
      </x:c>
      <x:c r="H60" s="26" t="str">
        <x:f>IF(G60="Not Needed","Not Needed",IF(G60="Complete","Complete",IF(G60="Blocked","Blocked",IF(G60="At Risk","At Risk",IF(OR(E60="",F60=""),"Schedule TBD",IF(F60&lt;'Overview'!$B$8,"Late",IF(E60&lt;='Overview'!$B$8+2,"Due Soon","On Track")))))))</x:f>
        <x:v>Due Soon</x:v>
      </x:c>
      <x:c r="I60" s="30" t="str"/>
      <x:c r="J60" s="30" t="str"/>
      <x:c r="K60" s="27" t="str"/>
      <x:c r="L60" s="27" t="str">
        <x:v>​4.4</x:v>
      </x:c>
      <x:c r="M60" s="28" t="n">
        <x:f>IF(OR(E60="",F60=""),"",F60-E60+1)</x:f>
        <x:v>1</x:v>
      </x:c>
      <x:c r="N60" s="29" t="str"/>
      <x:c r="O60" s="27" t="str"/>
      <x:c r="P60" s="20" t="n">
        <x:f>IF(AND(G60&lt;&gt;"Not Needed",G60&lt;&gt;"Complete",OR(G60="Blocked",G60="At Risk",G60="In Progress",H60="Late",H60="Due Soon")),COUNT($P$6:P59)+1,"")</x:f>
        <x:v>53</x:v>
      </x:c>
    </x:row>
    <x:row r="61" ht="24" customHeight="1">
      <x:c r="A61" s="21" t="str">
        <x:v>​4.13</x:v>
      </x:c>
      <x:c r="B61" s="24" t="str">
        <x:v>Technical Discovery</x:v>
      </x:c>
      <x:c r="C61" s="24" t="str">
        <x:v>Confirm mobile integration requirements</x:v>
      </x:c>
      <x:c r="D61" s="24" t="str">
        <x:v>Fiserv</x:v>
      </x:c>
      <x:c r="E61" s="25" t="n">
        <x:v>3</x:v>
      </x:c>
      <x:c r="F61" s="25" t="n">
        <x:v>3</x:v>
      </x:c>
      <x:c r="G61" s="26" t="str">
        <x:v>Not Started</x:v>
      </x:c>
      <x:c r="H61" s="26" t="str">
        <x:f>IF(G61="Not Needed","Not Needed",IF(G61="Complete","Complete",IF(G61="Blocked","Blocked",IF(G61="At Risk","At Risk",IF(OR(E61="",F61=""),"Schedule TBD",IF(F61&lt;'Overview'!$B$8,"Late",IF(E61&lt;='Overview'!$B$8+2,"Due Soon","On Track")))))))</x:f>
        <x:v>Due Soon</x:v>
      </x:c>
      <x:c r="I61" s="30" t="str"/>
      <x:c r="J61" s="30" t="str"/>
      <x:c r="K61" s="27" t="str"/>
      <x:c r="L61" s="27" t="str">
        <x:v>​4.4</x:v>
      </x:c>
      <x:c r="M61" s="28" t="n">
        <x:f>IF(OR(E61="",F61=""),"",F61-E61+1)</x:f>
        <x:v>1</x:v>
      </x:c>
      <x:c r="N61" s="29" t="str"/>
      <x:c r="O61" s="27" t="str"/>
      <x:c r="P61" s="20" t="n">
        <x:f>IF(AND(G61&lt;&gt;"Not Needed",G61&lt;&gt;"Complete",OR(G61="Blocked",G61="At Risk",G61="In Progress",H61="Late",H61="Due Soon")),COUNT($P$6:P60)+1,"")</x:f>
        <x:v>54</x:v>
      </x:c>
    </x:row>
    <x:row r="62" ht="24" customHeight="1">
      <x:c r="A62" s="21" t="str">
        <x:v>​4.14</x:v>
      </x:c>
      <x:c r="B62" s="24" t="str">
        <x:v>Technical Discovery</x:v>
      </x:c>
      <x:c r="C62" s="24" t="str">
        <x:v>Confirm browser requirements</x:v>
      </x:c>
      <x:c r="D62" s="24" t="str">
        <x:v>Tech</x:v>
      </x:c>
      <x:c r="E62" s="25" t="n">
        <x:v>3</x:v>
      </x:c>
      <x:c r="F62" s="25" t="n">
        <x:v>3</x:v>
      </x:c>
      <x:c r="G62" s="26" t="str">
        <x:v>Not Started</x:v>
      </x:c>
      <x:c r="H62" s="26" t="str">
        <x:f>IF(G62="Not Needed","Not Needed",IF(G62="Complete","Complete",IF(G62="Blocked","Blocked",IF(G62="At Risk","At Risk",IF(OR(E62="",F62=""),"Schedule TBD",IF(F62&lt;'Overview'!$B$8,"Late",IF(E62&lt;='Overview'!$B$8+2,"Due Soon","On Track")))))))</x:f>
        <x:v>Due Soon</x:v>
      </x:c>
      <x:c r="I62" s="30" t="str"/>
      <x:c r="J62" s="30" t="str"/>
      <x:c r="K62" s="27" t="str">
        <x:v>QA</x:v>
      </x:c>
      <x:c r="L62" s="27" t="str">
        <x:v>​4.4</x:v>
      </x:c>
      <x:c r="M62" s="28" t="n">
        <x:f>IF(OR(E62="",F62=""),"",F62-E62+1)</x:f>
        <x:v>1</x:v>
      </x:c>
      <x:c r="N62" s="29" t="str"/>
      <x:c r="O62" s="27" t="str"/>
      <x:c r="P62" s="20" t="n">
        <x:f>IF(AND(G62&lt;&gt;"Not Needed",G62&lt;&gt;"Complete",OR(G62="Blocked",G62="At Risk",G62="In Progress",H62="Late",H62="Due Soon")),COUNT($P$6:P61)+1,"")</x:f>
        <x:v>55</x:v>
      </x:c>
    </x:row>
    <x:row r="63" ht="24" customHeight="1">
      <x:c r="A63" s="21" t="str">
        <x:v>​4.15</x:v>
      </x:c>
      <x:c r="B63" s="24" t="str">
        <x:v>Technical Discovery</x:v>
      </x:c>
      <x:c r="C63" s="24" t="str">
        <x:v>Define error-handling requirements</x:v>
      </x:c>
      <x:c r="D63" s="24" t="str">
        <x:v>Architecture</x:v>
      </x:c>
      <x:c r="E63" s="25" t="n">
        <x:v>4</x:v>
      </x:c>
      <x:c r="F63" s="25" t="n">
        <x:v>4</x:v>
      </x:c>
      <x:c r="G63" s="26" t="str">
        <x:v>Not Started</x:v>
      </x:c>
      <x:c r="H63" s="26" t="str">
        <x:f>IF(G63="Not Needed","Not Needed",IF(G63="Complete","Complete",IF(G63="Blocked","Blocked",IF(G63="At Risk","At Risk",IF(OR(E63="",F63=""),"Schedule TBD",IF(F63&lt;'Overview'!$B$8,"Late",IF(E63&lt;='Overview'!$B$8+2,"Due Soon","On Track")))))))</x:f>
        <x:v>On Track</x:v>
      </x:c>
      <x:c r="I63" s="30" t="str"/>
      <x:c r="J63" s="30" t="str"/>
      <x:c r="K63" s="27" t="str"/>
      <x:c r="L63" s="27" t="str">
        <x:v>​4.8–4.10</x:v>
      </x:c>
      <x:c r="M63" s="28" t="n">
        <x:f>IF(OR(E63="",F63=""),"",F63-E63+1)</x:f>
        <x:v>1</x:v>
      </x:c>
      <x:c r="N63" s="29" t="str"/>
      <x:c r="O63" s="27" t="str"/>
      <x:c r="P63" s="20" t="str">
        <x:f>IF(AND(G63&lt;&gt;"Not Needed",G63&lt;&gt;"Complete",OR(G63="Blocked",G63="At Risk",G63="In Progress",H63="Late",H63="Due Soon")),COUNT($P$6:P62)+1,"")</x:f>
      </x:c>
    </x:row>
    <x:row r="64" ht="24" customHeight="1">
      <x:c r="A64" s="21" t="str">
        <x:v>​4.16</x:v>
      </x:c>
      <x:c r="B64" s="24" t="str">
        <x:v>Technical Discovery</x:v>
      </x:c>
      <x:c r="C64" s="24" t="str">
        <x:v>Complete solution design</x:v>
      </x:c>
      <x:c r="D64" s="24" t="str">
        <x:v>Architecture</x:v>
      </x:c>
      <x:c r="E64" s="25" t="n">
        <x:v>4</x:v>
      </x:c>
      <x:c r="F64" s="25" t="n">
        <x:v>4</x:v>
      </x:c>
      <x:c r="G64" s="26" t="str">
        <x:v>Not Started</x:v>
      </x:c>
      <x:c r="H64" s="26" t="str">
        <x:f>IF(G64="Not Needed","Not Needed",IF(G64="Complete","Complete",IF(G64="Blocked","Blocked",IF(G64="At Risk","At Risk",IF(OR(E64="",F64=""),"Schedule TBD",IF(F64&lt;'Overview'!$B$8,"Late",IF(E64&lt;='Overview'!$B$8+2,"Due Soon","On Track")))))))</x:f>
        <x:v>On Track</x:v>
      </x:c>
      <x:c r="I64" s="30" t="str"/>
      <x:c r="J64" s="30" t="str"/>
      <x:c r="K64" s="27" t="str"/>
      <x:c r="L64" s="27" t="str">
        <x:v>​4.1–4.15</x:v>
      </x:c>
      <x:c r="M64" s="28" t="n">
        <x:f>IF(OR(E64="",F64=""),"",F64-E64+1)</x:f>
        <x:v>1</x:v>
      </x:c>
      <x:c r="N64" s="29" t="str"/>
      <x:c r="O64" s="27" t="str"/>
      <x:c r="P64" s="20" t="str">
        <x:f>IF(AND(G64&lt;&gt;"Not Needed",G64&lt;&gt;"Complete",OR(G64="Blocked",G64="At Risk",G64="In Progress",H64="Late",H64="Due Soon")),COUNT($P$6:P63)+1,"")</x:f>
      </x:c>
    </x:row>
    <x:row r="65" ht="24" customHeight="1">
      <x:c r="A65" s="21" t="str">
        <x:v>​4.17</x:v>
      </x:c>
      <x:c r="B65" s="24" t="str">
        <x:v>Technical Discovery</x:v>
      </x:c>
      <x:c r="C65" s="24" t="str">
        <x:v>Technical design signoff</x:v>
      </x:c>
      <x:c r="D65" s="24" t="str">
        <x:v>Client</x:v>
      </x:c>
      <x:c r="E65" s="25" t="n">
        <x:v>4</x:v>
      </x:c>
      <x:c r="F65" s="25" t="n">
        <x:v>4</x:v>
      </x:c>
      <x:c r="G65" s="26" t="str">
        <x:v>Not Started</x:v>
      </x:c>
      <x:c r="H65" s="26" t="str">
        <x:f>IF(G65="Not Needed","Not Needed",IF(G65="Complete","Complete",IF(G65="Blocked","Blocked",IF(G65="At Risk","At Risk",IF(OR(E65="",F65=""),"Schedule TBD",IF(F65&lt;'Overview'!$B$8,"Late",IF(E65&lt;='Overview'!$B$8+2,"Due Soon","On Track")))))))</x:f>
        <x:v>On Track</x:v>
      </x:c>
      <x:c r="I65" s="30" t="str"/>
      <x:c r="J65" s="30" t="str"/>
      <x:c r="K65" s="27" t="str">
        <x:v>Fiserv; SavvyMoney</x:v>
      </x:c>
      <x:c r="L65" s="27" t="str">
        <x:v>​4.16</x:v>
      </x:c>
      <x:c r="M65" s="28" t="n">
        <x:f>IF(OR(E65="",F65=""),"",F65-E65+1)</x:f>
        <x:v>1</x:v>
      </x:c>
      <x:c r="N65" s="29" t="str">
        <x:v>Milestone</x:v>
      </x:c>
      <x:c r="O65" s="27" t="str"/>
      <x:c r="P65" s="20" t="str">
        <x:f>IF(AND(G65&lt;&gt;"Not Needed",G65&lt;&gt;"Complete",OR(G65="Blocked",G65="At Risk",G65="In Progress",H65="Late",H65="Due Soon")),COUNT($P$6:P64)+1,"")</x:f>
      </x:c>
    </x:row>
    <x:row r="66" ht="24" customHeight="1">
      <x:c r="A66" s="21" t="str">
        <x:v>​5.1</x:v>
      </x:c>
      <x:c r="B66" s="24" t="str">
        <x:v>UX / Experience Design</x:v>
      </x:c>
      <x:c r="C66" s="24" t="str">
        <x:v>Current-state journey review</x:v>
      </x:c>
      <x:c r="D66" s="24" t="str">
        <x:v>UX</x:v>
      </x:c>
      <x:c r="E66" s="25" t="n">
        <x:v>2</x:v>
      </x:c>
      <x:c r="F66" s="25" t="n">
        <x:v>2</x:v>
      </x:c>
      <x:c r="G66" s="26" t="str">
        <x:v>Not Started</x:v>
      </x:c>
      <x:c r="H66" s="26" t="str">
        <x:f>IF(G66="Not Needed","Not Needed",IF(G66="Complete","Complete",IF(G66="Blocked","Blocked",IF(G66="At Risk","At Risk",IF(OR(E66="",F66=""),"Schedule TBD",IF(F66&lt;'Overview'!$B$8,"Late",IF(E66&lt;='Overview'!$B$8+2,"Due Soon","On Track")))))))</x:f>
        <x:v>Due Soon</x:v>
      </x:c>
      <x:c r="I66" s="30" t="str"/>
      <x:c r="J66" s="30" t="str"/>
      <x:c r="K66" s="27" t="str">
        <x:v>Product</x:v>
      </x:c>
      <x:c r="L66" s="27" t="str">
        <x:v>​2.14</x:v>
      </x:c>
      <x:c r="M66" s="28" t="n">
        <x:f>IF(OR(E66="",F66=""),"",F66-E66+1)</x:f>
        <x:v>1</x:v>
      </x:c>
      <x:c r="N66" s="29" t="str"/>
      <x:c r="O66" s="27" t="str"/>
      <x:c r="P66" s="20" t="n">
        <x:f>IF(AND(G66&lt;&gt;"Not Needed",G66&lt;&gt;"Complete",OR(G66="Blocked",G66="At Risk",G66="In Progress",H66="Late",H66="Due Soon")),COUNT($P$6:P65)+1,"")</x:f>
        <x:v>56</x:v>
      </x:c>
    </x:row>
    <x:row r="67" ht="24" customHeight="1">
      <x:c r="A67" s="21" t="str">
        <x:v>​5.2</x:v>
      </x:c>
      <x:c r="B67" s="24" t="str">
        <x:v>UX / Experience Design</x:v>
      </x:c>
      <x:c r="C67" s="24" t="str">
        <x:v>Determine OLB navigation placement</x:v>
      </x:c>
      <x:c r="D67" s="24" t="str">
        <x:v>UX</x:v>
      </x:c>
      <x:c r="E67" s="25" t="n">
        <x:v>2</x:v>
      </x:c>
      <x:c r="F67" s="25" t="n">
        <x:v>2</x:v>
      </x:c>
      <x:c r="G67" s="26" t="str">
        <x:v>Not Started</x:v>
      </x:c>
      <x:c r="H67" s="26" t="str">
        <x:f>IF(G67="Not Needed","Not Needed",IF(G67="Complete","Complete",IF(G67="Blocked","Blocked",IF(G67="At Risk","At Risk",IF(OR(E67="",F67=""),"Schedule TBD",IF(F67&lt;'Overview'!$B$8,"Late",IF(E67&lt;='Overview'!$B$8+2,"Due Soon","On Track")))))))</x:f>
        <x:v>Due Soon</x:v>
      </x:c>
      <x:c r="I67" s="30" t="str"/>
      <x:c r="J67" s="30" t="str"/>
      <x:c r="K67" s="27" t="str">
        <x:v>Product</x:v>
      </x:c>
      <x:c r="L67" s="27" t="str">
        <x:v>​5.1</x:v>
      </x:c>
      <x:c r="M67" s="28" t="n">
        <x:f>IF(OR(E67="",F67=""),"",F67-E67+1)</x:f>
        <x:v>1</x:v>
      </x:c>
      <x:c r="N67" s="29" t="str"/>
      <x:c r="O67" s="27" t="str"/>
      <x:c r="P67" s="20" t="n">
        <x:f>IF(AND(G67&lt;&gt;"Not Needed",G67&lt;&gt;"Complete",OR(G67="Blocked",G67="At Risk",G67="In Progress",H67="Late",H67="Due Soon")),COUNT($P$6:P66)+1,"")</x:f>
        <x:v>57</x:v>
      </x:c>
    </x:row>
    <x:row r="68" ht="24" customHeight="1">
      <x:c r="A68" s="21" t="str">
        <x:v>​5.3</x:v>
      </x:c>
      <x:c r="B68" s="24" t="str">
        <x:v>UX / Experience Design</x:v>
      </x:c>
      <x:c r="C68" s="24" t="str">
        <x:v>Determine mobile navigation placement</x:v>
      </x:c>
      <x:c r="D68" s="24" t="str">
        <x:v>UX</x:v>
      </x:c>
      <x:c r="E68" s="25" t="n">
        <x:v>2</x:v>
      </x:c>
      <x:c r="F68" s="25" t="n">
        <x:v>2</x:v>
      </x:c>
      <x:c r="G68" s="26" t="str">
        <x:v>Not Started</x:v>
      </x:c>
      <x:c r="H68" s="26" t="str">
        <x:f>IF(G68="Not Needed","Not Needed",IF(G68="Complete","Complete",IF(G68="Blocked","Blocked",IF(G68="At Risk","At Risk",IF(OR(E68="",F68=""),"Schedule TBD",IF(F68&lt;'Overview'!$B$8,"Late",IF(E68&lt;='Overview'!$B$8+2,"Due Soon","On Track")))))))</x:f>
        <x:v>Due Soon</x:v>
      </x:c>
      <x:c r="I68" s="30" t="str"/>
      <x:c r="J68" s="30" t="str"/>
      <x:c r="K68" s="27" t="str">
        <x:v>Product</x:v>
      </x:c>
      <x:c r="L68" s="27" t="str">
        <x:v>​5.1</x:v>
      </x:c>
      <x:c r="M68" s="28" t="n">
        <x:f>IF(OR(E68="",F68=""),"",F68-E68+1)</x:f>
        <x:v>1</x:v>
      </x:c>
      <x:c r="N68" s="29" t="str"/>
      <x:c r="O68" s="27" t="str"/>
      <x:c r="P68" s="20" t="n">
        <x:f>IF(AND(G68&lt;&gt;"Not Needed",G68&lt;&gt;"Complete",OR(G68="Blocked",G68="At Risk",G68="In Progress",H68="Late",H68="Due Soon")),COUNT($P$6:P67)+1,"")</x:f>
        <x:v>58</x:v>
      </x:c>
    </x:row>
    <x:row r="69" ht="24" customHeight="1">
      <x:c r="A69" s="21" t="str">
        <x:v>​5.4</x:v>
      </x:c>
      <x:c r="B69" s="24" t="str">
        <x:v>UX / Experience Design</x:v>
      </x:c>
      <x:c r="C69" s="24" t="str">
        <x:v>Define promotional entry points</x:v>
      </x:c>
      <x:c r="D69" s="24" t="str">
        <x:v>UX</x:v>
      </x:c>
      <x:c r="E69" s="25" t="n">
        <x:v>3</x:v>
      </x:c>
      <x:c r="F69" s="25" t="n">
        <x:v>3</x:v>
      </x:c>
      <x:c r="G69" s="26" t="str">
        <x:v>Not Started</x:v>
      </x:c>
      <x:c r="H69" s="26" t="str">
        <x:f>IF(G69="Not Needed","Not Needed",IF(G69="Complete","Complete",IF(G69="Blocked","Blocked",IF(G69="At Risk","At Risk",IF(OR(E69="",F69=""),"Schedule TBD",IF(F69&lt;'Overview'!$B$8,"Late",IF(E69&lt;='Overview'!$B$8+2,"Due Soon","On Track")))))))</x:f>
        <x:v>Due Soon</x:v>
      </x:c>
      <x:c r="I69" s="30" t="str"/>
      <x:c r="J69" s="30" t="str"/>
      <x:c r="K69" s="27" t="str">
        <x:v>Marketing</x:v>
      </x:c>
      <x:c r="L69" s="27" t="str">
        <x:v>​5.1</x:v>
      </x:c>
      <x:c r="M69" s="28" t="n">
        <x:f>IF(OR(E69="",F69=""),"",F69-E69+1)</x:f>
        <x:v>1</x:v>
      </x:c>
      <x:c r="N69" s="29" t="str"/>
      <x:c r="O69" s="27" t="str"/>
      <x:c r="P69" s="20" t="n">
        <x:f>IF(AND(G69&lt;&gt;"Not Needed",G69&lt;&gt;"Complete",OR(G69="Blocked",G69="At Risk",G69="In Progress",H69="Late",H69="Due Soon")),COUNT($P$6:P68)+1,"")</x:f>
        <x:v>59</x:v>
      </x:c>
    </x:row>
    <x:row r="70" ht="24" customHeight="1">
      <x:c r="A70" s="21" t="str">
        <x:v>​5.5</x:v>
      </x:c>
      <x:c r="B70" s="24" t="str">
        <x:v>UX / Experience Design</x:v>
      </x:c>
      <x:c r="C70" s="24" t="str">
        <x:v>Define enrollment messaging</x:v>
      </x:c>
      <x:c r="D70" s="24" t="str">
        <x:v>UX</x:v>
      </x:c>
      <x:c r="E70" s="25" t="n">
        <x:v>3</x:v>
      </x:c>
      <x:c r="F70" s="25" t="n">
        <x:v>3</x:v>
      </x:c>
      <x:c r="G70" s="26" t="str">
        <x:v>Not Started</x:v>
      </x:c>
      <x:c r="H70" s="26" t="str">
        <x:f>IF(G70="Not Needed","Not Needed",IF(G70="Complete","Complete",IF(G70="Blocked","Blocked",IF(G70="At Risk","At Risk",IF(OR(E70="",F70=""),"Schedule TBD",IF(F70&lt;'Overview'!$B$8,"Late",IF(E70&lt;='Overview'!$B$8+2,"Due Soon","On Track")))))))</x:f>
        <x:v>Due Soon</x:v>
      </x:c>
      <x:c r="I70" s="30" t="str"/>
      <x:c r="J70" s="30" t="str"/>
      <x:c r="K70" s="27" t="str">
        <x:v>Content</x:v>
      </x:c>
      <x:c r="L70" s="27" t="str">
        <x:v>​2.9</x:v>
      </x:c>
      <x:c r="M70" s="28" t="n">
        <x:f>IF(OR(E70="",F70=""),"",F70-E70+1)</x:f>
        <x:v>1</x:v>
      </x:c>
      <x:c r="N70" s="29" t="str"/>
      <x:c r="O70" s="27" t="str"/>
      <x:c r="P70" s="20" t="n">
        <x:f>IF(AND(G70&lt;&gt;"Not Needed",G70&lt;&gt;"Complete",OR(G70="Blocked",G70="At Risk",G70="In Progress",H70="Late",H70="Due Soon")),COUNT($P$6:P69)+1,"")</x:f>
        <x:v>60</x:v>
      </x:c>
    </x:row>
    <x:row r="71" ht="24" customHeight="1">
      <x:c r="A71" s="21" t="str">
        <x:v>​5.6</x:v>
      </x:c>
      <x:c r="B71" s="24" t="str">
        <x:v>UX / Experience Design</x:v>
      </x:c>
      <x:c r="C71" s="24" t="str">
        <x:v>Define consent/disclosure placement</x:v>
      </x:c>
      <x:c r="D71" s="24" t="str">
        <x:v>UX</x:v>
      </x:c>
      <x:c r="E71" s="25" t="n">
        <x:v>3</x:v>
      </x:c>
      <x:c r="F71" s="25" t="n">
        <x:v>3</x:v>
      </x:c>
      <x:c r="G71" s="26" t="str">
        <x:v>Not Started</x:v>
      </x:c>
      <x:c r="H71" s="26" t="str">
        <x:f>IF(G71="Not Needed","Not Needed",IF(G71="Complete","Complete",IF(G71="Blocked","Blocked",IF(G71="At Risk","At Risk",IF(OR(E71="",F71=""),"Schedule TBD",IF(F71&lt;'Overview'!$B$8,"Late",IF(E71&lt;='Overview'!$B$8+2,"Due Soon","On Track")))))))</x:f>
        <x:v>Due Soon</x:v>
      </x:c>
      <x:c r="I71" s="30" t="str"/>
      <x:c r="J71" s="30" t="str"/>
      <x:c r="K71" s="27" t="str">
        <x:v>Compliance</x:v>
      </x:c>
      <x:c r="L71" s="27" t="str">
        <x:v>​5.5</x:v>
      </x:c>
      <x:c r="M71" s="28" t="n">
        <x:f>IF(OR(E71="",F71=""),"",F71-E71+1)</x:f>
        <x:v>1</x:v>
      </x:c>
      <x:c r="N71" s="29" t="str"/>
      <x:c r="O71" s="27" t="str"/>
      <x:c r="P71" s="20" t="n">
        <x:f>IF(AND(G71&lt;&gt;"Not Needed",G71&lt;&gt;"Complete",OR(G71="Blocked",G71="At Risk",G71="In Progress",H71="Late",H71="Due Soon")),COUNT($P$6:P70)+1,"")</x:f>
        <x:v>61</x:v>
      </x:c>
    </x:row>
    <x:row r="72" ht="24" customHeight="1">
      <x:c r="A72" s="21" t="str">
        <x:v>​5.7</x:v>
      </x:c>
      <x:c r="B72" s="24" t="str">
        <x:v>UX / Experience Design</x:v>
      </x:c>
      <x:c r="C72" s="24" t="str">
        <x:v>Define loading/error states</x:v>
      </x:c>
      <x:c r="D72" s="24" t="str">
        <x:v>UX</x:v>
      </x:c>
      <x:c r="E72" s="25" t="n">
        <x:v>3</x:v>
      </x:c>
      <x:c r="F72" s="25" t="n">
        <x:v>3</x:v>
      </x:c>
      <x:c r="G72" s="26" t="str">
        <x:v>Not Started</x:v>
      </x:c>
      <x:c r="H72" s="26" t="str">
        <x:f>IF(G72="Not Needed","Not Needed",IF(G72="Complete","Complete",IF(G72="Blocked","Blocked",IF(G72="At Risk","At Risk",IF(OR(E72="",F72=""),"Schedule TBD",IF(F72&lt;'Overview'!$B$8,"Late",IF(E72&lt;='Overview'!$B$8+2,"Due Soon","On Track")))))))</x:f>
        <x:v>Due Soon</x:v>
      </x:c>
      <x:c r="I72" s="30" t="str"/>
      <x:c r="J72" s="30" t="str"/>
      <x:c r="K72" s="27" t="str"/>
      <x:c r="L72" s="27" t="str">
        <x:v>​4.15</x:v>
      </x:c>
      <x:c r="M72" s="28" t="n">
        <x:f>IF(OR(E72="",F72=""),"",F72-E72+1)</x:f>
        <x:v>1</x:v>
      </x:c>
      <x:c r="N72" s="29" t="str"/>
      <x:c r="O72" s="27" t="str"/>
      <x:c r="P72" s="20" t="n">
        <x:f>IF(AND(G72&lt;&gt;"Not Needed",G72&lt;&gt;"Complete",OR(G72="Blocked",G72="At Risk",G72="In Progress",H72="Late",H72="Due Soon")),COUNT($P$6:P71)+1,"")</x:f>
        <x:v>62</x:v>
      </x:c>
    </x:row>
    <x:row r="73" ht="24" customHeight="1">
      <x:c r="A73" s="21" t="str">
        <x:v>​5.8</x:v>
      </x:c>
      <x:c r="B73" s="24" t="str">
        <x:v>UX / Experience Design</x:v>
      </x:c>
      <x:c r="C73" s="24" t="str">
        <x:v>Define support/error escalation experience</x:v>
      </x:c>
      <x:c r="D73" s="24" t="str">
        <x:v>UX</x:v>
      </x:c>
      <x:c r="E73" s="25" t="n">
        <x:v>3</x:v>
      </x:c>
      <x:c r="F73" s="25" t="n">
        <x:v>3</x:v>
      </x:c>
      <x:c r="G73" s="26" t="str">
        <x:v>Not Started</x:v>
      </x:c>
      <x:c r="H73" s="26" t="str">
        <x:f>IF(G73="Not Needed","Not Needed",IF(G73="Complete","Complete",IF(G73="Blocked","Blocked",IF(G73="At Risk","At Risk",IF(OR(E73="",F73=""),"Schedule TBD",IF(F73&lt;'Overview'!$B$8,"Late",IF(E73&lt;='Overview'!$B$8+2,"Due Soon","On Track")))))))</x:f>
        <x:v>Due Soon</x:v>
      </x:c>
      <x:c r="I73" s="30" t="str"/>
      <x:c r="J73" s="30" t="str"/>
      <x:c r="K73" s="27" t="str">
        <x:v>Ops</x:v>
      </x:c>
      <x:c r="L73" s="27" t="str">
        <x:v>​5.7</x:v>
      </x:c>
      <x:c r="M73" s="28" t="n">
        <x:f>IF(OR(E73="",F73=""),"",F73-E73+1)</x:f>
        <x:v>1</x:v>
      </x:c>
      <x:c r="N73" s="29" t="str"/>
      <x:c r="O73" s="27" t="str"/>
      <x:c r="P73" s="20" t="n">
        <x:f>IF(AND(G73&lt;&gt;"Not Needed",G73&lt;&gt;"Complete",OR(G73="Blocked",G73="At Risk",G73="In Progress",H73="Late",H73="Due Soon")),COUNT($P$6:P72)+1,"")</x:f>
        <x:v>63</x:v>
      </x:c>
    </x:row>
    <x:row r="74" ht="24" customHeight="1">
      <x:c r="A74" s="21" t="str">
        <x:v>​5.9</x:v>
      </x:c>
      <x:c r="B74" s="24" t="str">
        <x:v>UX / Experience Design</x:v>
      </x:c>
      <x:c r="C74" s="24" t="str">
        <x:v>Review responsive behavior</x:v>
      </x:c>
      <x:c r="D74" s="24" t="str">
        <x:v>UX</x:v>
      </x:c>
      <x:c r="E74" s="25" t="n">
        <x:v>4</x:v>
      </x:c>
      <x:c r="F74" s="25" t="n">
        <x:v>4</x:v>
      </x:c>
      <x:c r="G74" s="26" t="str">
        <x:v>Not Started</x:v>
      </x:c>
      <x:c r="H74" s="26" t="str">
        <x:f>IF(G74="Not Needed","Not Needed",IF(G74="Complete","Complete",IF(G74="Blocked","Blocked",IF(G74="At Risk","At Risk",IF(OR(E74="",F74=""),"Schedule TBD",IF(F74&lt;'Overview'!$B$8,"Late",IF(E74&lt;='Overview'!$B$8+2,"Due Soon","On Track")))))))</x:f>
        <x:v>On Track</x:v>
      </x:c>
      <x:c r="I74" s="30" t="str"/>
      <x:c r="J74" s="30" t="str"/>
      <x:c r="K74" s="27" t="str"/>
      <x:c r="L74" s="27" t="str">
        <x:v>​5.2–5.8</x:v>
      </x:c>
      <x:c r="M74" s="28" t="n">
        <x:f>IF(OR(E74="",F74=""),"",F74-E74+1)</x:f>
        <x:v>1</x:v>
      </x:c>
      <x:c r="N74" s="29" t="str"/>
      <x:c r="O74" s="27" t="str"/>
      <x:c r="P74" s="20" t="str">
        <x:f>IF(AND(G74&lt;&gt;"Not Needed",G74&lt;&gt;"Complete",OR(G74="Blocked",G74="At Risk",G74="In Progress",H74="Late",H74="Due Soon")),COUNT($P$6:P73)+1,"")</x:f>
      </x:c>
    </x:row>
    <x:row r="75" ht="24" customHeight="1">
      <x:c r="A75" s="21" t="str">
        <x:v>​5.10</x:v>
      </x:c>
      <x:c r="B75" s="24" t="str">
        <x:v>UX / Experience Design</x:v>
      </x:c>
      <x:c r="C75" s="24" t="str">
        <x:v>Accessibility review</x:v>
      </x:c>
      <x:c r="D75" s="24" t="str">
        <x:v>UX</x:v>
      </x:c>
      <x:c r="E75" s="25" t="n">
        <x:v>4</x:v>
      </x:c>
      <x:c r="F75" s="25" t="n">
        <x:v>4</x:v>
      </x:c>
      <x:c r="G75" s="26" t="str">
        <x:v>Not Started</x:v>
      </x:c>
      <x:c r="H75" s="26" t="str">
        <x:f>IF(G75="Not Needed","Not Needed",IF(G75="Complete","Complete",IF(G75="Blocked","Blocked",IF(G75="At Risk","At Risk",IF(OR(E75="",F75=""),"Schedule TBD",IF(F75&lt;'Overview'!$B$8,"Late",IF(E75&lt;='Overview'!$B$8+2,"Due Soon","On Track")))))))</x:f>
        <x:v>On Track</x:v>
      </x:c>
      <x:c r="I75" s="30" t="str"/>
      <x:c r="J75" s="30" t="str"/>
      <x:c r="K75" s="27" t="str">
        <x:v>Accessibility</x:v>
      </x:c>
      <x:c r="L75" s="27" t="str">
        <x:v>​5.2–5.9</x:v>
      </x:c>
      <x:c r="M75" s="28" t="n">
        <x:f>IF(OR(E75="",F75=""),"",F75-E75+1)</x:f>
        <x:v>1</x:v>
      </x:c>
      <x:c r="N75" s="29" t="str"/>
      <x:c r="O75" s="27" t="str"/>
      <x:c r="P75" s="20" t="str">
        <x:f>IF(AND(G75&lt;&gt;"Not Needed",G75&lt;&gt;"Complete",OR(G75="Blocked",G75="At Risk",G75="In Progress",H75="Late",H75="Due Soon")),COUNT($P$6:P74)+1,"")</x:f>
      </x:c>
    </x:row>
    <x:row r="76" ht="24" customHeight="1">
      <x:c r="A76" s="21" t="str">
        <x:v>​5.11</x:v>
      </x:c>
      <x:c r="B76" s="24" t="str">
        <x:v>UX / Experience Design</x:v>
      </x:c>
      <x:c r="C76" s="24" t="str">
        <x:v>Stakeholder walkthrough</x:v>
      </x:c>
      <x:c r="D76" s="24" t="str">
        <x:v>Product</x:v>
      </x:c>
      <x:c r="E76" s="25" t="n">
        <x:v>4</x:v>
      </x:c>
      <x:c r="F76" s="25" t="n">
        <x:v>4</x:v>
      </x:c>
      <x:c r="G76" s="26" t="str">
        <x:v>Not Started</x:v>
      </x:c>
      <x:c r="H76" s="26" t="str">
        <x:f>IF(G76="Not Needed","Not Needed",IF(G76="Complete","Complete",IF(G76="Blocked","Blocked",IF(G76="At Risk","At Risk",IF(OR(E76="",F76=""),"Schedule TBD",IF(F76&lt;'Overview'!$B$8,"Late",IF(E76&lt;='Overview'!$B$8+2,"Due Soon","On Track")))))))</x:f>
        <x:v>On Track</x:v>
      </x:c>
      <x:c r="I76" s="30" t="str"/>
      <x:c r="J76" s="30" t="str"/>
      <x:c r="K76" s="27" t="str">
        <x:v>UX</x:v>
      </x:c>
      <x:c r="L76" s="27" t="str">
        <x:v>​5.1–5.10</x:v>
      </x:c>
      <x:c r="M76" s="28" t="n">
        <x:f>IF(OR(E76="",F76=""),"",F76-E76+1)</x:f>
        <x:v>1</x:v>
      </x:c>
      <x:c r="N76" s="29" t="str"/>
      <x:c r="O76" s="27" t="str"/>
      <x:c r="P76" s="20" t="str">
        <x:f>IF(AND(G76&lt;&gt;"Not Needed",G76&lt;&gt;"Complete",OR(G76="Blocked",G76="At Risk",G76="In Progress",H76="Late",H76="Due Soon")),COUNT($P$6:P75)+1,"")</x:f>
      </x:c>
    </x:row>
    <x:row r="77" ht="24" customHeight="1">
      <x:c r="A77" s="21" t="str">
        <x:v>​5.12</x:v>
      </x:c>
      <x:c r="B77" s="24" t="str">
        <x:v>UX / Experience Design</x:v>
      </x:c>
      <x:c r="C77" s="24" t="str">
        <x:v>Incorporate feedback</x:v>
      </x:c>
      <x:c r="D77" s="24" t="str">
        <x:v>UX</x:v>
      </x:c>
      <x:c r="E77" s="25" t="n">
        <x:v>5</x:v>
      </x:c>
      <x:c r="F77" s="25" t="n">
        <x:v>5</x:v>
      </x:c>
      <x:c r="G77" s="26" t="str">
        <x:v>Not Started</x:v>
      </x:c>
      <x:c r="H77" s="26" t="str">
        <x:f>IF(G77="Not Needed","Not Needed",IF(G77="Complete","Complete",IF(G77="Blocked","Blocked",IF(G77="At Risk","At Risk",IF(OR(E77="",F77=""),"Schedule TBD",IF(F77&lt;'Overview'!$B$8,"Late",IF(E77&lt;='Overview'!$B$8+2,"Due Soon","On Track")))))))</x:f>
        <x:v>On Track</x:v>
      </x:c>
      <x:c r="I77" s="30" t="str"/>
      <x:c r="J77" s="30" t="str"/>
      <x:c r="K77" s="27" t="str"/>
      <x:c r="L77" s="27" t="str">
        <x:v>​5.11</x:v>
      </x:c>
      <x:c r="M77" s="28" t="n">
        <x:f>IF(OR(E77="",F77=""),"",F77-E77+1)</x:f>
        <x:v>1</x:v>
      </x:c>
      <x:c r="N77" s="29" t="str"/>
      <x:c r="O77" s="27" t="str"/>
      <x:c r="P77" s="20" t="str">
        <x:f>IF(AND(G77&lt;&gt;"Not Needed",G77&lt;&gt;"Complete",OR(G77="Blocked",G77="At Risk",G77="In Progress",H77="Late",H77="Due Soon")),COUNT($P$6:P76)+1,"")</x:f>
      </x:c>
    </x:row>
    <x:row r="78" ht="24" customHeight="1">
      <x:c r="A78" s="21" t="str">
        <x:v>​5.13</x:v>
      </x:c>
      <x:c r="B78" s="24" t="str">
        <x:v>UX / Experience Design</x:v>
      </x:c>
      <x:c r="C78" s="24" t="str">
        <x:v>Final experience approval</x:v>
      </x:c>
      <x:c r="D78" s="24" t="str">
        <x:v>Product</x:v>
      </x:c>
      <x:c r="E78" s="25" t="n">
        <x:v>5</x:v>
      </x:c>
      <x:c r="F78" s="25" t="n">
        <x:v>5</x:v>
      </x:c>
      <x:c r="G78" s="26" t="str">
        <x:v>Not Started</x:v>
      </x:c>
      <x:c r="H78" s="26" t="str">
        <x:f>IF(G78="Not Needed","Not Needed",IF(G78="Complete","Complete",IF(G78="Blocked","Blocked",IF(G78="At Risk","At Risk",IF(OR(E78="",F78=""),"Schedule TBD",IF(F78&lt;'Overview'!$B$8,"Late",IF(E78&lt;='Overview'!$B$8+2,"Due Soon","On Track")))))))</x:f>
        <x:v>On Track</x:v>
      </x:c>
      <x:c r="I78" s="30" t="str"/>
      <x:c r="J78" s="30" t="str"/>
      <x:c r="K78" s="27" t="str"/>
      <x:c r="L78" s="27" t="str">
        <x:v>​5.12</x:v>
      </x:c>
      <x:c r="M78" s="28" t="n">
        <x:f>IF(OR(E78="",F78=""),"",F78-E78+1)</x:f>
        <x:v>1</x:v>
      </x:c>
      <x:c r="N78" s="29" t="str">
        <x:v>Milestone</x:v>
      </x:c>
      <x:c r="O78" s="27" t="str"/>
      <x:c r="P78" s="20" t="str">
        <x:f>IF(AND(G78&lt;&gt;"Not Needed",G78&lt;&gt;"Complete",OR(G78="Blocked",G78="At Risk",G78="In Progress",H78="Late",H78="Due Soon")),COUNT($P$6:P77)+1,"")</x:f>
      </x:c>
    </x:row>
    <x:row r="79" ht="24" customHeight="1">
      <x:c r="A79" s="21" t="str">
        <x:v>​6.1</x:v>
      </x:c>
      <x:c r="B79" s="24" t="str">
        <x:v>Legal / Compliance / Privacy</x:v>
      </x:c>
      <x:c r="C79" s="24" t="str">
        <x:v>Provide solution overview</x:v>
      </x:c>
      <x:c r="D79" s="24" t="str">
        <x:v>Product</x:v>
      </x:c>
      <x:c r="E79" s="25" t="n">
        <x:v>2</x:v>
      </x:c>
      <x:c r="F79" s="25" t="n">
        <x:v>2</x:v>
      </x:c>
      <x:c r="G79" s="26" t="str">
        <x:v>Not Started</x:v>
      </x:c>
      <x:c r="H79" s="26" t="str">
        <x:f>IF(G79="Not Needed","Not Needed",IF(G79="Complete","Complete",IF(G79="Blocked","Blocked",IF(G79="At Risk","At Risk",IF(OR(E79="",F79=""),"Schedule TBD",IF(F79&lt;'Overview'!$B$8,"Late",IF(E79&lt;='Overview'!$B$8+2,"Due Soon","On Track")))))))</x:f>
        <x:v>Due Soon</x:v>
      </x:c>
      <x:c r="I79" s="30" t="str"/>
      <x:c r="J79" s="30" t="str"/>
      <x:c r="K79" s="27" t="str"/>
      <x:c r="L79" s="27" t="str">
        <x:v>​2.14</x:v>
      </x:c>
      <x:c r="M79" s="28" t="n">
        <x:f>IF(OR(E79="",F79=""),"",F79-E79+1)</x:f>
        <x:v>1</x:v>
      </x:c>
      <x:c r="N79" s="29" t="str"/>
      <x:c r="O79" s="27" t="str"/>
      <x:c r="P79" s="20" t="n">
        <x:f>IF(AND(G79&lt;&gt;"Not Needed",G79&lt;&gt;"Complete",OR(G79="Blocked",G79="At Risk",G79="In Progress",H79="Late",H79="Due Soon")),COUNT($P$6:P78)+1,"")</x:f>
        <x:v>64</x:v>
      </x:c>
    </x:row>
    <x:row r="80" ht="24" customHeight="1">
      <x:c r="A80" s="21" t="str">
        <x:v>​6.2</x:v>
      </x:c>
      <x:c r="B80" s="24" t="str">
        <x:v>Legal / Compliance / Privacy</x:v>
      </x:c>
      <x:c r="C80" s="24" t="str">
        <x:v>Provide screenshots/user flows</x:v>
      </x:c>
      <x:c r="D80" s="24" t="str">
        <x:v>UX</x:v>
      </x:c>
      <x:c r="E80" s="25" t="n">
        <x:v>4</x:v>
      </x:c>
      <x:c r="F80" s="25" t="n">
        <x:v>4</x:v>
      </x:c>
      <x:c r="G80" s="26" t="str">
        <x:v>Not Started</x:v>
      </x:c>
      <x:c r="H80" s="26" t="str">
        <x:f>IF(G80="Not Needed","Not Needed",IF(G80="Complete","Complete",IF(G80="Blocked","Blocked",IF(G80="At Risk","At Risk",IF(OR(E80="",F80=""),"Schedule TBD",IF(F80&lt;'Overview'!$B$8,"Late",IF(E80&lt;='Overview'!$B$8+2,"Due Soon","On Track")))))))</x:f>
        <x:v>On Track</x:v>
      </x:c>
      <x:c r="I80" s="30" t="str"/>
      <x:c r="J80" s="30" t="str"/>
      <x:c r="K80" s="27" t="str"/>
      <x:c r="L80" s="27" t="str">
        <x:v>​5.11</x:v>
      </x:c>
      <x:c r="M80" s="28" t="n">
        <x:f>IF(OR(E80="",F80=""),"",F80-E80+1)</x:f>
        <x:v>1</x:v>
      </x:c>
      <x:c r="N80" s="29" t="str"/>
      <x:c r="O80" s="27" t="str"/>
      <x:c r="P80" s="20" t="str">
        <x:f>IF(AND(G80&lt;&gt;"Not Needed",G80&lt;&gt;"Complete",OR(G80="Blocked",G80="At Risk",G80="In Progress",H80="Late",H80="Due Soon")),COUNT($P$6:P79)+1,"")</x:f>
      </x:c>
    </x:row>
    <x:row r="81" ht="24" customHeight="1">
      <x:c r="A81" s="21" t="str">
        <x:v>​6.3</x:v>
      </x:c>
      <x:c r="B81" s="24" t="str">
        <x:v>Legal / Compliance / Privacy</x:v>
      </x:c>
      <x:c r="C81" s="24" t="str">
        <x:v>Review customer consent</x:v>
      </x:c>
      <x:c r="D81" s="24" t="str">
        <x:v>Compliance</x:v>
      </x:c>
      <x:c r="E81" s="25" t="n">
        <x:v>3</x:v>
      </x:c>
      <x:c r="F81" s="25" t="n">
        <x:v>3</x:v>
      </x:c>
      <x:c r="G81" s="26" t="str">
        <x:v>Not Started</x:v>
      </x:c>
      <x:c r="H81" s="26" t="str">
        <x:f>IF(G81="Not Needed","Not Needed",IF(G81="Complete","Complete",IF(G81="Blocked","Blocked",IF(G81="At Risk","At Risk",IF(OR(E81="",F81=""),"Schedule TBD",IF(F81&lt;'Overview'!$B$8,"Late",IF(E81&lt;='Overview'!$B$8+2,"Due Soon","On Track")))))))</x:f>
        <x:v>Due Soon</x:v>
      </x:c>
      <x:c r="I81" s="30" t="str"/>
      <x:c r="J81" s="30" t="str"/>
      <x:c r="K81" s="27" t="str"/>
      <x:c r="L81" s="27" t="str">
        <x:v>​6.1</x:v>
      </x:c>
      <x:c r="M81" s="28" t="n">
        <x:f>IF(OR(E81="",F81=""),"",F81-E81+1)</x:f>
        <x:v>1</x:v>
      </x:c>
      <x:c r="N81" s="29" t="str"/>
      <x:c r="O81" s="27" t="str"/>
      <x:c r="P81" s="20" t="n">
        <x:f>IF(AND(G81&lt;&gt;"Not Needed",G81&lt;&gt;"Complete",OR(G81="Blocked",G81="At Risk",G81="In Progress",H81="Late",H81="Due Soon")),COUNT($P$6:P80)+1,"")</x:f>
        <x:v>65</x:v>
      </x:c>
    </x:row>
    <x:row r="82" ht="24" customHeight="1">
      <x:c r="A82" s="21" t="str">
        <x:v>​6.4</x:v>
      </x:c>
      <x:c r="B82" s="24" t="str">
        <x:v>Legal / Compliance / Privacy</x:v>
      </x:c>
      <x:c r="C82" s="24" t="str">
        <x:v>Review disclosures</x:v>
      </x:c>
      <x:c r="D82" s="24" t="str">
        <x:v>Compliance</x:v>
      </x:c>
      <x:c r="E82" s="25" t="n">
        <x:v>3</x:v>
      </x:c>
      <x:c r="F82" s="25" t="n">
        <x:v>3</x:v>
      </x:c>
      <x:c r="G82" s="26" t="str">
        <x:v>Not Started</x:v>
      </x:c>
      <x:c r="H82" s="26" t="str">
        <x:f>IF(G82="Not Needed","Not Needed",IF(G82="Complete","Complete",IF(G82="Blocked","Blocked",IF(G82="At Risk","At Risk",IF(OR(E82="",F82=""),"Schedule TBD",IF(F82&lt;'Overview'!$B$8,"Late",IF(E82&lt;='Overview'!$B$8+2,"Due Soon","On Track")))))))</x:f>
        <x:v>Due Soon</x:v>
      </x:c>
      <x:c r="I82" s="30" t="str"/>
      <x:c r="J82" s="30" t="str"/>
      <x:c r="K82" s="27" t="str"/>
      <x:c r="L82" s="27" t="str">
        <x:v>​6.1</x:v>
      </x:c>
      <x:c r="M82" s="28" t="n">
        <x:f>IF(OR(E82="",F82=""),"",F82-E82+1)</x:f>
        <x:v>1</x:v>
      </x:c>
      <x:c r="N82" s="29" t="str"/>
      <x:c r="O82" s="27" t="str"/>
      <x:c r="P82" s="20" t="n">
        <x:f>IF(AND(G82&lt;&gt;"Not Needed",G82&lt;&gt;"Complete",OR(G82="Blocked",G82="At Risk",G82="In Progress",H82="Late",H82="Due Soon")),COUNT($P$6:P81)+1,"")</x:f>
        <x:v>66</x:v>
      </x:c>
    </x:row>
    <x:row r="83" ht="24" customHeight="1">
      <x:c r="A83" s="21" t="str">
        <x:v>​6.5</x:v>
      </x:c>
      <x:c r="B83" s="24" t="str">
        <x:v>Legal / Compliance / Privacy</x:v>
      </x:c>
      <x:c r="C83" s="24" t="str">
        <x:v>Review FCRA implications</x:v>
      </x:c>
      <x:c r="D83" s="24" t="str">
        <x:v>Compliance</x:v>
      </x:c>
      <x:c r="E83" s="25" t="n">
        <x:v>3</x:v>
      </x:c>
      <x:c r="F83" s="25" t="n">
        <x:v>3</x:v>
      </x:c>
      <x:c r="G83" s="26" t="str">
        <x:v>Not Started</x:v>
      </x:c>
      <x:c r="H83" s="26" t="str">
        <x:f>IF(G83="Not Needed","Not Needed",IF(G83="Complete","Complete",IF(G83="Blocked","Blocked",IF(G83="At Risk","At Risk",IF(OR(E83="",F83=""),"Schedule TBD",IF(F83&lt;'Overview'!$B$8,"Late",IF(E83&lt;='Overview'!$B$8+2,"Due Soon","On Track")))))))</x:f>
        <x:v>Due Soon</x:v>
      </x:c>
      <x:c r="I83" s="30" t="str"/>
      <x:c r="J83" s="30" t="str"/>
      <x:c r="K83" s="27" t="str">
        <x:v>Legal</x:v>
      </x:c>
      <x:c r="L83" s="27" t="str">
        <x:v>​6.1</x:v>
      </x:c>
      <x:c r="M83" s="28" t="n">
        <x:f>IF(OR(E83="",F83=""),"",F83-E83+1)</x:f>
        <x:v>1</x:v>
      </x:c>
      <x:c r="N83" s="29" t="str"/>
      <x:c r="O83" s="27" t="str"/>
      <x:c r="P83" s="20" t="n">
        <x:f>IF(AND(G83&lt;&gt;"Not Needed",G83&lt;&gt;"Complete",OR(G83="Blocked",G83="At Risk",G83="In Progress",H83="Late",H83="Due Soon")),COUNT($P$6:P82)+1,"")</x:f>
        <x:v>67</x:v>
      </x:c>
    </x:row>
    <x:row r="84" ht="24" customHeight="1">
      <x:c r="A84" s="21" t="str">
        <x:v>​6.6</x:v>
      </x:c>
      <x:c r="B84" s="24" t="str">
        <x:v>Legal / Compliance / Privacy</x:v>
      </x:c>
      <x:c r="C84" s="24" t="str">
        <x:v>Review Reg V implications</x:v>
      </x:c>
      <x:c r="D84" s="24" t="str">
        <x:v>Compliance</x:v>
      </x:c>
      <x:c r="E84" s="25" t="n">
        <x:v>3</x:v>
      </x:c>
      <x:c r="F84" s="25" t="n">
        <x:v>3</x:v>
      </x:c>
      <x:c r="G84" s="26" t="str">
        <x:v>Not Started</x:v>
      </x:c>
      <x:c r="H84" s="26" t="str">
        <x:f>IF(G84="Not Needed","Not Needed",IF(G84="Complete","Complete",IF(G84="Blocked","Blocked",IF(G84="At Risk","At Risk",IF(OR(E84="",F84=""),"Schedule TBD",IF(F84&lt;'Overview'!$B$8,"Late",IF(E84&lt;='Overview'!$B$8+2,"Due Soon","On Track")))))))</x:f>
        <x:v>Due Soon</x:v>
      </x:c>
      <x:c r="I84" s="30" t="str"/>
      <x:c r="J84" s="30" t="str"/>
      <x:c r="K84" s="27" t="str"/>
      <x:c r="L84" s="27" t="str">
        <x:v>​6.1</x:v>
      </x:c>
      <x:c r="M84" s="28" t="n">
        <x:f>IF(OR(E84="",F84=""),"",F84-E84+1)</x:f>
        <x:v>1</x:v>
      </x:c>
      <x:c r="N84" s="29" t="str"/>
      <x:c r="O84" s="27" t="str"/>
      <x:c r="P84" s="20" t="n">
        <x:f>IF(AND(G84&lt;&gt;"Not Needed",G84&lt;&gt;"Complete",OR(G84="Blocked",G84="At Risk",G84="In Progress",H84="Late",H84="Due Soon")),COUNT($P$6:P83)+1,"")</x:f>
        <x:v>68</x:v>
      </x:c>
    </x:row>
    <x:row r="85" ht="24" customHeight="1">
      <x:c r="A85" s="21" t="str">
        <x:v>​6.7</x:v>
      </x:c>
      <x:c r="B85" s="24" t="str">
        <x:v>Legal / Compliance / Privacy</x:v>
      </x:c>
      <x:c r="C85" s="24" t="str">
        <x:v>Review privacy notice implications</x:v>
      </x:c>
      <x:c r="D85" s="24" t="str">
        <x:v>Privacy</x:v>
      </x:c>
      <x:c r="E85" s="25" t="n">
        <x:v>3</x:v>
      </x:c>
      <x:c r="F85" s="25" t="n">
        <x:v>3</x:v>
      </x:c>
      <x:c r="G85" s="26" t="str">
        <x:v>Not Started</x:v>
      </x:c>
      <x:c r="H85" s="26" t="str">
        <x:f>IF(G85="Not Needed","Not Needed",IF(G85="Complete","Complete",IF(G85="Blocked","Blocked",IF(G85="At Risk","At Risk",IF(OR(E85="",F85=""),"Schedule TBD",IF(F85&lt;'Overview'!$B$8,"Late",IF(E85&lt;='Overview'!$B$8+2,"Due Soon","On Track")))))))</x:f>
        <x:v>Due Soon</x:v>
      </x:c>
      <x:c r="I85" s="30" t="str"/>
      <x:c r="J85" s="30" t="str"/>
      <x:c r="K85" s="27" t="str"/>
      <x:c r="L85" s="27" t="str">
        <x:v>​6.1</x:v>
      </x:c>
      <x:c r="M85" s="28" t="n">
        <x:f>IF(OR(E85="",F85=""),"",F85-E85+1)</x:f>
        <x:v>1</x:v>
      </x:c>
      <x:c r="N85" s="29" t="str"/>
      <x:c r="O85" s="27" t="str"/>
      <x:c r="P85" s="20" t="n">
        <x:f>IF(AND(G85&lt;&gt;"Not Needed",G85&lt;&gt;"Complete",OR(G85="Blocked",G85="At Risk",G85="In Progress",H85="Late",H85="Due Soon")),COUNT($P$6:P84)+1,"")</x:f>
        <x:v>69</x:v>
      </x:c>
    </x:row>
    <x:row r="86" ht="24" customHeight="1">
      <x:c r="A86" s="21" t="str">
        <x:v>​6.8</x:v>
      </x:c>
      <x:c r="B86" s="24" t="str">
        <x:v>Legal / Compliance / Privacy</x:v>
      </x:c>
      <x:c r="C86" s="24" t="str">
        <x:v>Review data-sharing arrangement</x:v>
      </x:c>
      <x:c r="D86" s="24" t="str">
        <x:v>Privacy</x:v>
      </x:c>
      <x:c r="E86" s="25" t="n">
        <x:v>4</x:v>
      </x:c>
      <x:c r="F86" s="25" t="n">
        <x:v>4</x:v>
      </x:c>
      <x:c r="G86" s="26" t="str">
        <x:v>Not Started</x:v>
      </x:c>
      <x:c r="H86" s="26" t="str">
        <x:f>IF(G86="Not Needed","Not Needed",IF(G86="Complete","Complete",IF(G86="Blocked","Blocked",IF(G86="At Risk","At Risk",IF(OR(E86="",F86=""),"Schedule TBD",IF(F86&lt;'Overview'!$B$8,"Late",IF(E86&lt;='Overview'!$B$8+2,"Due Soon","On Track")))))))</x:f>
        <x:v>On Track</x:v>
      </x:c>
      <x:c r="I86" s="30" t="str"/>
      <x:c r="J86" s="30" t="str"/>
      <x:c r="K86" s="27" t="str">
        <x:v>Legal</x:v>
      </x:c>
      <x:c r="L86" s="27" t="str">
        <x:v>​4.10</x:v>
      </x:c>
      <x:c r="M86" s="28" t="n">
        <x:f>IF(OR(E86="",F86=""),"",F86-E86+1)</x:f>
        <x:v>1</x:v>
      </x:c>
      <x:c r="N86" s="29" t="str"/>
      <x:c r="O86" s="27" t="str"/>
      <x:c r="P86" s="20" t="str">
        <x:f>IF(AND(G86&lt;&gt;"Not Needed",G86&lt;&gt;"Complete",OR(G86="Blocked",G86="At Risk",G86="In Progress",H86="Late",H86="Due Soon")),COUNT($P$6:P85)+1,"")</x:f>
      </x:c>
    </x:row>
    <x:row r="87" ht="24" customHeight="1">
      <x:c r="A87" s="21" t="str">
        <x:v>​6.9</x:v>
      </x:c>
      <x:c r="B87" s="24" t="str">
        <x:v>Legal / Compliance / Privacy</x:v>
      </x:c>
      <x:c r="C87" s="24" t="str">
        <x:v>Review marketing claims</x:v>
      </x:c>
      <x:c r="D87" s="24" t="str">
        <x:v>Compliance</x:v>
      </x:c>
      <x:c r="E87" s="25" t="n">
        <x:v>4</x:v>
      </x:c>
      <x:c r="F87" s="25" t="n">
        <x:v>4</x:v>
      </x:c>
      <x:c r="G87" s="26" t="str">
        <x:v>Not Started</x:v>
      </x:c>
      <x:c r="H87" s="26" t="str">
        <x:f>IF(G87="Not Needed","Not Needed",IF(G87="Complete","Complete",IF(G87="Blocked","Blocked",IF(G87="At Risk","At Risk",IF(OR(E87="",F87=""),"Schedule TBD",IF(F87&lt;'Overview'!$B$8,"Late",IF(E87&lt;='Overview'!$B$8+2,"Due Soon","On Track")))))))</x:f>
        <x:v>On Track</x:v>
      </x:c>
      <x:c r="I87" s="30" t="str"/>
      <x:c r="J87" s="30" t="str"/>
      <x:c r="K87" s="27" t="str">
        <x:v>Marketing</x:v>
      </x:c>
      <x:c r="L87" s="27" t="str">
        <x:v>​6.1</x:v>
      </x:c>
      <x:c r="M87" s="28" t="n">
        <x:f>IF(OR(E87="",F87=""),"",F87-E87+1)</x:f>
        <x:v>1</x:v>
      </x:c>
      <x:c r="N87" s="29" t="str"/>
      <x:c r="O87" s="27" t="str"/>
      <x:c r="P87" s="20" t="str">
        <x:f>IF(AND(G87&lt;&gt;"Not Needed",G87&lt;&gt;"Complete",OR(G87="Blocked",G87="At Risk",G87="In Progress",H87="Late",H87="Due Soon")),COUNT($P$6:P86)+1,"")</x:f>
      </x:c>
    </x:row>
    <x:row r="88" ht="24" customHeight="1">
      <x:c r="A88" s="21" t="str">
        <x:v>​6.10</x:v>
      </x:c>
      <x:c r="B88" s="24" t="str">
        <x:v>Legal / Compliance / Privacy</x:v>
      </x:c>
      <x:c r="C88" s="24" t="str">
        <x:v>Review terms and conditions</x:v>
      </x:c>
      <x:c r="D88" s="24" t="str">
        <x:v>Legal</x:v>
      </x:c>
      <x:c r="E88" s="25" t="n">
        <x:v>4</x:v>
      </x:c>
      <x:c r="F88" s="25" t="n">
        <x:v>4</x:v>
      </x:c>
      <x:c r="G88" s="26" t="str">
        <x:v>Not Started</x:v>
      </x:c>
      <x:c r="H88" s="26" t="str">
        <x:f>IF(G88="Not Needed","Not Needed",IF(G88="Complete","Complete",IF(G88="Blocked","Blocked",IF(G88="At Risk","At Risk",IF(OR(E88="",F88=""),"Schedule TBD",IF(F88&lt;'Overview'!$B$8,"Late",IF(E88&lt;='Overview'!$B$8+2,"Due Soon","On Track")))))))</x:f>
        <x:v>On Track</x:v>
      </x:c>
      <x:c r="I88" s="30" t="str"/>
      <x:c r="J88" s="30" t="str"/>
      <x:c r="K88" s="27" t="str"/>
      <x:c r="L88" s="27" t="str">
        <x:v>​6.1</x:v>
      </x:c>
      <x:c r="M88" s="28" t="n">
        <x:f>IF(OR(E88="",F88=""),"",F88-E88+1)</x:f>
        <x:v>1</x:v>
      </x:c>
      <x:c r="N88" s="29" t="str"/>
      <x:c r="O88" s="27" t="str"/>
      <x:c r="P88" s="20" t="str">
        <x:f>IF(AND(G88&lt;&gt;"Not Needed",G88&lt;&gt;"Complete",OR(G88="Blocked",G88="At Risk",G88="In Progress",H88="Late",H88="Due Soon")),COUNT($P$6:P87)+1,"")</x:f>
      </x:c>
    </x:row>
    <x:row r="89" ht="24" customHeight="1">
      <x:c r="A89" s="21" t="str">
        <x:v>​6.11</x:v>
      </x:c>
      <x:c r="B89" s="24" t="str">
        <x:v>Legal / Compliance / Privacy</x:v>
      </x:c>
      <x:c r="C89" s="24" t="str">
        <x:v>Document required changes</x:v>
      </x:c>
      <x:c r="D89" s="24" t="str">
        <x:v>Compliance</x:v>
      </x:c>
      <x:c r="E89" s="25" t="n">
        <x:v>5</x:v>
      </x:c>
      <x:c r="F89" s="25" t="n">
        <x:v>5</x:v>
      </x:c>
      <x:c r="G89" s="26" t="str">
        <x:v>Not Started</x:v>
      </x:c>
      <x:c r="H89" s="26" t="str">
        <x:f>IF(G89="Not Needed","Not Needed",IF(G89="Complete","Complete",IF(G89="Blocked","Blocked",IF(G89="At Risk","At Risk",IF(OR(E89="",F89=""),"Schedule TBD",IF(F89&lt;'Overview'!$B$8,"Late",IF(E89&lt;='Overview'!$B$8+2,"Due Soon","On Track")))))))</x:f>
        <x:v>On Track</x:v>
      </x:c>
      <x:c r="I89" s="30" t="str"/>
      <x:c r="J89" s="30" t="str"/>
      <x:c r="K89" s="27" t="str"/>
      <x:c r="L89" s="27" t="str">
        <x:v>​6.2–6.10</x:v>
      </x:c>
      <x:c r="M89" s="28" t="n">
        <x:f>IF(OR(E89="",F89=""),"",F89-E89+1)</x:f>
        <x:v>1</x:v>
      </x:c>
      <x:c r="N89" s="29" t="str"/>
      <x:c r="O89" s="27" t="str"/>
      <x:c r="P89" s="20" t="str">
        <x:f>IF(AND(G89&lt;&gt;"Not Needed",G89&lt;&gt;"Complete",OR(G89="Blocked",G89="At Risk",G89="In Progress",H89="Late",H89="Due Soon")),COUNT($P$6:P88)+1,"")</x:f>
      </x:c>
    </x:row>
    <x:row r="90" ht="24" customHeight="1">
      <x:c r="A90" s="21" t="str">
        <x:v>​6.12</x:v>
      </x:c>
      <x:c r="B90" s="24" t="str">
        <x:v>Legal / Compliance / Privacy</x:v>
      </x:c>
      <x:c r="C90" s="24" t="str">
        <x:v>Implement required changes</x:v>
      </x:c>
      <x:c r="D90" s="24" t="str">
        <x:v>Product</x:v>
      </x:c>
      <x:c r="E90" s="25" t="n">
        <x:v>5</x:v>
      </x:c>
      <x:c r="F90" s="25" t="n">
        <x:v>5</x:v>
      </x:c>
      <x:c r="G90" s="26" t="str">
        <x:v>Not Started</x:v>
      </x:c>
      <x:c r="H90" s="26" t="str">
        <x:f>IF(G90="Not Needed","Not Needed",IF(G90="Complete","Complete",IF(G90="Blocked","Blocked",IF(G90="At Risk","At Risk",IF(OR(E90="",F90=""),"Schedule TBD",IF(F90&lt;'Overview'!$B$8,"Late",IF(E90&lt;='Overview'!$B$8+2,"Due Soon","On Track")))))))</x:f>
        <x:v>On Track</x:v>
      </x:c>
      <x:c r="I90" s="30" t="str"/>
      <x:c r="J90" s="30" t="str"/>
      <x:c r="K90" s="27" t="str">
        <x:v>UX; Tech</x:v>
      </x:c>
      <x:c r="L90" s="27" t="str">
        <x:v>​6.11</x:v>
      </x:c>
      <x:c r="M90" s="28" t="n">
        <x:f>IF(OR(E90="",F90=""),"",F90-E90+1)</x:f>
        <x:v>1</x:v>
      </x:c>
      <x:c r="N90" s="29" t="str"/>
      <x:c r="O90" s="27" t="str"/>
      <x:c r="P90" s="20" t="str">
        <x:f>IF(AND(G90&lt;&gt;"Not Needed",G90&lt;&gt;"Complete",OR(G90="Blocked",G90="At Risk",G90="In Progress",H90="Late",H90="Due Soon")),COUNT($P$6:P89)+1,"")</x:f>
      </x:c>
    </x:row>
    <x:row r="91" ht="24" customHeight="1">
      <x:c r="A91" s="21" t="str">
        <x:v>​6.13</x:v>
      </x:c>
      <x:c r="B91" s="24" t="str">
        <x:v>Legal / Compliance / Privacy</x:v>
      </x:c>
      <x:c r="C91" s="24" t="str">
        <x:v>Final legal/compliance approval</x:v>
      </x:c>
      <x:c r="D91" s="24" t="str">
        <x:v>Legal</x:v>
      </x:c>
      <x:c r="E91" s="25" t="n">
        <x:v>6</x:v>
      </x:c>
      <x:c r="F91" s="25" t="n">
        <x:v>6</x:v>
      </x:c>
      <x:c r="G91" s="26" t="str">
        <x:v>Not Started</x:v>
      </x:c>
      <x:c r="H91" s="26" t="str">
        <x:f>IF(G91="Not Needed","Not Needed",IF(G91="Complete","Complete",IF(G91="Blocked","Blocked",IF(G91="At Risk","At Risk",IF(OR(E91="",F91=""),"Schedule TBD",IF(F91&lt;'Overview'!$B$8,"Late",IF(E91&lt;='Overview'!$B$8+2,"Due Soon","On Track")))))))</x:f>
        <x:v>On Track</x:v>
      </x:c>
      <x:c r="I91" s="30" t="str"/>
      <x:c r="J91" s="30" t="str"/>
      <x:c r="K91" s="27" t="str">
        <x:v>Compliance</x:v>
      </x:c>
      <x:c r="L91" s="27" t="str">
        <x:v>​6.12</x:v>
      </x:c>
      <x:c r="M91" s="28" t="n">
        <x:f>IF(OR(E91="",F91=""),"",F91-E91+1)</x:f>
        <x:v>1</x:v>
      </x:c>
      <x:c r="N91" s="29" t="str">
        <x:v>Milestone</x:v>
      </x:c>
      <x:c r="O91" s="27" t="str"/>
      <x:c r="P91" s="20" t="str">
        <x:f>IF(AND(G91&lt;&gt;"Not Needed",G91&lt;&gt;"Complete",OR(G91="Blocked",G91="At Risk",G91="In Progress",H91="Late",H91="Due Soon")),COUNT($P$6:P90)+1,"")</x:f>
      </x:c>
    </x:row>
    <x:row r="92" ht="24" customHeight="1">
      <x:c r="A92" s="21" t="str">
        <x:v>​7.1</x:v>
      </x:c>
      <x:c r="B92" s="24" t="str">
        <x:v>Security / Risk</x:v>
      </x:c>
      <x:c r="C92" s="24" t="str">
        <x:v>Architecture security review</x:v>
      </x:c>
      <x:c r="D92" s="24" t="str">
        <x:v>Security</x:v>
      </x:c>
      <x:c r="E92" s="25" t="n">
        <x:v>4</x:v>
      </x:c>
      <x:c r="F92" s="25" t="n">
        <x:v>4</x:v>
      </x:c>
      <x:c r="G92" s="26" t="str">
        <x:v>Not Started</x:v>
      </x:c>
      <x:c r="H92" s="26" t="str">
        <x:f>IF(G92="Not Needed","Not Needed",IF(G92="Complete","Complete",IF(G92="Blocked","Blocked",IF(G92="At Risk","At Risk",IF(OR(E92="",F92=""),"Schedule TBD",IF(F92&lt;'Overview'!$B$8,"Late",IF(E92&lt;='Overview'!$B$8+2,"Due Soon","On Track")))))))</x:f>
        <x:v>On Track</x:v>
      </x:c>
      <x:c r="I92" s="30" t="str"/>
      <x:c r="J92" s="30" t="str"/>
      <x:c r="K92" s="27" t="str"/>
      <x:c r="L92" s="27" t="str">
        <x:v>​4.16</x:v>
      </x:c>
      <x:c r="M92" s="28" t="n">
        <x:f>IF(OR(E92="",F92=""),"",F92-E92+1)</x:f>
        <x:v>1</x:v>
      </x:c>
      <x:c r="N92" s="29" t="str"/>
      <x:c r="O92" s="27" t="str"/>
      <x:c r="P92" s="20" t="str">
        <x:f>IF(AND(G92&lt;&gt;"Not Needed",G92&lt;&gt;"Complete",OR(G92="Blocked",G92="At Risk",G92="In Progress",H92="Late",H92="Due Soon")),COUNT($P$6:P91)+1,"")</x:f>
      </x:c>
    </x:row>
    <x:row r="93" ht="24" customHeight="1">
      <x:c r="A93" s="21" t="str">
        <x:v>​7.2</x:v>
      </x:c>
      <x:c r="B93" s="24" t="str">
        <x:v>Security / Risk</x:v>
      </x:c>
      <x:c r="C93" s="24" t="str">
        <x:v>Review SSO/authentication</x:v>
      </x:c>
      <x:c r="D93" s="24" t="str">
        <x:v>Security</x:v>
      </x:c>
      <x:c r="E93" s="25" t="n">
        <x:v>4</x:v>
      </x:c>
      <x:c r="F93" s="25" t="n">
        <x:v>4</x:v>
      </x:c>
      <x:c r="G93" s="26" t="str">
        <x:v>Not Started</x:v>
      </x:c>
      <x:c r="H93" s="26" t="str">
        <x:f>IF(G93="Not Needed","Not Needed",IF(G93="Complete","Complete",IF(G93="Blocked","Blocked",IF(G93="At Risk","At Risk",IF(OR(E93="",F93=""),"Schedule TBD",IF(F93&lt;'Overview'!$B$8,"Late",IF(E93&lt;='Overview'!$B$8+2,"Due Soon","On Track")))))))</x:f>
        <x:v>On Track</x:v>
      </x:c>
      <x:c r="I93" s="30" t="str"/>
      <x:c r="J93" s="30" t="str"/>
      <x:c r="K93" s="27" t="str"/>
      <x:c r="L93" s="27" t="str">
        <x:v>​4.8</x:v>
      </x:c>
      <x:c r="M93" s="28" t="n">
        <x:f>IF(OR(E93="",F93=""),"",F93-E93+1)</x:f>
        <x:v>1</x:v>
      </x:c>
      <x:c r="N93" s="29" t="str"/>
      <x:c r="O93" s="27" t="str"/>
      <x:c r="P93" s="20" t="str">
        <x:f>IF(AND(G93&lt;&gt;"Not Needed",G93&lt;&gt;"Complete",OR(G93="Blocked",G93="At Risk",G93="In Progress",H93="Late",H93="Due Soon")),COUNT($P$6:P92)+1,"")</x:f>
      </x:c>
    </x:row>
    <x:row r="94" ht="24" customHeight="1">
      <x:c r="A94" s="21" t="str">
        <x:v>​7.3</x:v>
      </x:c>
      <x:c r="B94" s="24" t="str">
        <x:v>Security / Risk</x:v>
      </x:c>
      <x:c r="C94" s="24" t="str">
        <x:v>Review data transmission</x:v>
      </x:c>
      <x:c r="D94" s="24" t="str">
        <x:v>Security</x:v>
      </x:c>
      <x:c r="E94" s="25" t="n">
        <x:v>4</x:v>
      </x:c>
      <x:c r="F94" s="25" t="n">
        <x:v>4</x:v>
      </x:c>
      <x:c r="G94" s="26" t="str">
        <x:v>Not Started</x:v>
      </x:c>
      <x:c r="H94" s="26" t="str">
        <x:f>IF(G94="Not Needed","Not Needed",IF(G94="Complete","Complete",IF(G94="Blocked","Blocked",IF(G94="At Risk","At Risk",IF(OR(E94="",F94=""),"Schedule TBD",IF(F94&lt;'Overview'!$B$8,"Late",IF(E94&lt;='Overview'!$B$8+2,"Due Soon","On Track")))))))</x:f>
        <x:v>On Track</x:v>
      </x:c>
      <x:c r="I94" s="30" t="str"/>
      <x:c r="J94" s="30" t="str"/>
      <x:c r="K94" s="27" t="str"/>
      <x:c r="L94" s="27" t="str">
        <x:v>​4.10</x:v>
      </x:c>
      <x:c r="M94" s="28" t="n">
        <x:f>IF(OR(E94="",F94=""),"",F94-E94+1)</x:f>
        <x:v>1</x:v>
      </x:c>
      <x:c r="N94" s="29" t="str"/>
      <x:c r="O94" s="27" t="str"/>
      <x:c r="P94" s="20" t="str">
        <x:f>IF(AND(G94&lt;&gt;"Not Needed",G94&lt;&gt;"Complete",OR(G94="Blocked",G94="At Risk",G94="In Progress",H94="Late",H94="Due Soon")),COUNT($P$6:P93)+1,"")</x:f>
      </x:c>
    </x:row>
    <x:row r="95" ht="24" customHeight="1">
      <x:c r="A95" s="21" t="str">
        <x:v>​7.4</x:v>
      </x:c>
      <x:c r="B95" s="24" t="str">
        <x:v>Security / Risk</x:v>
      </x:c>
      <x:c r="C95" s="24" t="str">
        <x:v>Review data storage/retention</x:v>
      </x:c>
      <x:c r="D95" s="24" t="str">
        <x:v>Security</x:v>
      </x:c>
      <x:c r="E95" s="25" t="n">
        <x:v>4</x:v>
      </x:c>
      <x:c r="F95" s="25" t="n">
        <x:v>4</x:v>
      </x:c>
      <x:c r="G95" s="26" t="str">
        <x:v>Not Started</x:v>
      </x:c>
      <x:c r="H95" s="26" t="str">
        <x:f>IF(G95="Not Needed","Not Needed",IF(G95="Complete","Complete",IF(G95="Blocked","Blocked",IF(G95="At Risk","At Risk",IF(OR(E95="",F95=""),"Schedule TBD",IF(F95&lt;'Overview'!$B$8,"Late",IF(E95&lt;='Overview'!$B$8+2,"Due Soon","On Track")))))))</x:f>
        <x:v>On Track</x:v>
      </x:c>
      <x:c r="I95" s="30" t="str"/>
      <x:c r="J95" s="30" t="str"/>
      <x:c r="K95" s="27" t="str">
        <x:v>Privacy</x:v>
      </x:c>
      <x:c r="L95" s="27" t="str">
        <x:v>​4.10</x:v>
      </x:c>
      <x:c r="M95" s="28" t="n">
        <x:f>IF(OR(E95="",F95=""),"",F95-E95+1)</x:f>
        <x:v>1</x:v>
      </x:c>
      <x:c r="N95" s="29" t="str"/>
      <x:c r="O95" s="27" t="str"/>
      <x:c r="P95" s="20" t="str">
        <x:f>IF(AND(G95&lt;&gt;"Not Needed",G95&lt;&gt;"Complete",OR(G95="Blocked",G95="At Risk",G95="In Progress",H95="Late",H95="Due Soon")),COUNT($P$6:P94)+1,"")</x:f>
      </x:c>
    </x:row>
    <x:row r="96" ht="24" customHeight="1">
      <x:c r="A96" s="21" t="str">
        <x:v>​7.5</x:v>
      </x:c>
      <x:c r="B96" s="24" t="str">
        <x:v>Security / Risk</x:v>
      </x:c>
      <x:c r="C96" s="24" t="str">
        <x:v>Review encryption requirements</x:v>
      </x:c>
      <x:c r="D96" s="24" t="str">
        <x:v>Security</x:v>
      </x:c>
      <x:c r="E96" s="25" t="n">
        <x:v>4</x:v>
      </x:c>
      <x:c r="F96" s="25" t="n">
        <x:v>4</x:v>
      </x:c>
      <x:c r="G96" s="26" t="str">
        <x:v>Not Started</x:v>
      </x:c>
      <x:c r="H96" s="26" t="str">
        <x:f>IF(G96="Not Needed","Not Needed",IF(G96="Complete","Complete",IF(G96="Blocked","Blocked",IF(G96="At Risk","At Risk",IF(OR(E96="",F96=""),"Schedule TBD",IF(F96&lt;'Overview'!$B$8,"Late",IF(E96&lt;='Overview'!$B$8+2,"Due Soon","On Track")))))))</x:f>
        <x:v>On Track</x:v>
      </x:c>
      <x:c r="I96" s="30" t="str"/>
      <x:c r="J96" s="30" t="str"/>
      <x:c r="K96" s="27" t="str"/>
      <x:c r="L96" s="27" t="str">
        <x:v>​4.10</x:v>
      </x:c>
      <x:c r="M96" s="28" t="n">
        <x:f>IF(OR(E96="",F96=""),"",F96-E96+1)</x:f>
        <x:v>1</x:v>
      </x:c>
      <x:c r="N96" s="29" t="str"/>
      <x:c r="O96" s="27" t="str"/>
      <x:c r="P96" s="20" t="str">
        <x:f>IF(AND(G96&lt;&gt;"Not Needed",G96&lt;&gt;"Complete",OR(G96="Blocked",G96="At Risk",G96="In Progress",H96="Late",H96="Due Soon")),COUNT($P$6:P95)+1,"")</x:f>
      </x:c>
    </x:row>
    <x:row r="97" ht="24" customHeight="1">
      <x:c r="A97" s="21" t="str">
        <x:v>​7.6</x:v>
      </x:c>
      <x:c r="B97" s="24" t="str">
        <x:v>Security / Risk</x:v>
      </x:c>
      <x:c r="C97" s="24" t="str">
        <x:v>Review vendor controls</x:v>
      </x:c>
      <x:c r="D97" s="24" t="str">
        <x:v>Vendor Risk</x:v>
      </x:c>
      <x:c r="E97" s="25" t="n">
        <x:v>4</x:v>
      </x:c>
      <x:c r="F97" s="25" t="n">
        <x:v>4</x:v>
      </x:c>
      <x:c r="G97" s="26" t="str">
        <x:v>Not Started</x:v>
      </x:c>
      <x:c r="H97" s="26" t="str">
        <x:f>IF(G97="Not Needed","Not Needed",IF(G97="Complete","Complete",IF(G97="Blocked","Blocked",IF(G97="At Risk","At Risk",IF(OR(E97="",F97=""),"Schedule TBD",IF(F97&lt;'Overview'!$B$8,"Late",IF(E97&lt;='Overview'!$B$8+2,"Due Soon","On Track")))))))</x:f>
        <x:v>On Track</x:v>
      </x:c>
      <x:c r="I97" s="30" t="str"/>
      <x:c r="J97" s="30" t="str"/>
      <x:c r="K97" s="27" t="str"/>
      <x:c r="L97" s="27" t="str">
        <x:v>​3.7</x:v>
      </x:c>
      <x:c r="M97" s="28" t="n">
        <x:f>IF(OR(E97="",F97=""),"",F97-E97+1)</x:f>
        <x:v>1</x:v>
      </x:c>
      <x:c r="N97" s="29" t="str"/>
      <x:c r="O97" s="27" t="str"/>
      <x:c r="P97" s="20" t="str">
        <x:f>IF(AND(G97&lt;&gt;"Not Needed",G97&lt;&gt;"Complete",OR(G97="Blocked",G97="At Risk",G97="In Progress",H97="Late",H97="Due Soon")),COUNT($P$6:P96)+1,"")</x:f>
      </x:c>
    </x:row>
    <x:row r="98" ht="24" customHeight="1">
      <x:c r="A98" s="21" t="str">
        <x:v>​7.7</x:v>
      </x:c>
      <x:c r="B98" s="24" t="str">
        <x:v>Security / Risk</x:v>
      </x:c>
      <x:c r="C98" s="24" t="str">
        <x:v>Confirm logging/monitoring</x:v>
      </x:c>
      <x:c r="D98" s="24" t="str">
        <x:v>Security</x:v>
      </x:c>
      <x:c r="E98" s="25" t="n">
        <x:v>5</x:v>
      </x:c>
      <x:c r="F98" s="25" t="n">
        <x:v>5</x:v>
      </x:c>
      <x:c r="G98" s="26" t="str">
        <x:v>Not Started</x:v>
      </x:c>
      <x:c r="H98" s="26" t="str">
        <x:f>IF(G98="Not Needed","Not Needed",IF(G98="Complete","Complete",IF(G98="Blocked","Blocked",IF(G98="At Risk","At Risk",IF(OR(E98="",F98=""),"Schedule TBD",IF(F98&lt;'Overview'!$B$8,"Late",IF(E98&lt;='Overview'!$B$8+2,"Due Soon","On Track")))))))</x:f>
        <x:v>On Track</x:v>
      </x:c>
      <x:c r="I98" s="30" t="str"/>
      <x:c r="J98" s="30" t="str"/>
      <x:c r="K98" s="27" t="str">
        <x:v>Tech</x:v>
      </x:c>
      <x:c r="L98" s="27" t="str">
        <x:v>​4.16</x:v>
      </x:c>
      <x:c r="M98" s="28" t="n">
        <x:f>IF(OR(E98="",F98=""),"",F98-E98+1)</x:f>
        <x:v>1</x:v>
      </x:c>
      <x:c r="N98" s="29" t="str"/>
      <x:c r="O98" s="27" t="str"/>
      <x:c r="P98" s="20" t="str">
        <x:f>IF(AND(G98&lt;&gt;"Not Needed",G98&lt;&gt;"Complete",OR(G98="Blocked",G98="At Risk",G98="In Progress",H98="Late",H98="Due Soon")),COUNT($P$6:P97)+1,"")</x:f>
      </x:c>
    </x:row>
    <x:row r="99" ht="24" customHeight="1">
      <x:c r="A99" s="21" t="str">
        <x:v>​7.8</x:v>
      </x:c>
      <x:c r="B99" s="24" t="str">
        <x:v>Security / Risk</x:v>
      </x:c>
      <x:c r="C99" s="24" t="str">
        <x:v>Resolve security findings</x:v>
      </x:c>
      <x:c r="D99" s="24" t="str">
        <x:v>Tech</x:v>
      </x:c>
      <x:c r="E99" s="25" t="n">
        <x:v>5</x:v>
      </x:c>
      <x:c r="F99" s="25" t="n">
        <x:v>6</x:v>
      </x:c>
      <x:c r="G99" s="26" t="str">
        <x:v>Not Started</x:v>
      </x:c>
      <x:c r="H99" s="26" t="str">
        <x:f>IF(G99="Not Needed","Not Needed",IF(G99="Complete","Complete",IF(G99="Blocked","Blocked",IF(G99="At Risk","At Risk",IF(OR(E99="",F99=""),"Schedule TBD",IF(F99&lt;'Overview'!$B$8,"Late",IF(E99&lt;='Overview'!$B$8+2,"Due Soon","On Track")))))))</x:f>
        <x:v>On Track</x:v>
      </x:c>
      <x:c r="I99" s="30" t="str"/>
      <x:c r="J99" s="30" t="str"/>
      <x:c r="K99" s="27" t="str">
        <x:v>Vendor</x:v>
      </x:c>
      <x:c r="L99" s="27" t="str">
        <x:v>​7.1–7.7</x:v>
      </x:c>
      <x:c r="M99" s="28" t="n">
        <x:f>IF(OR(E99="",F99=""),"",F99-E99+1)</x:f>
        <x:v>2</x:v>
      </x:c>
      <x:c r="N99" s="29" t="str"/>
      <x:c r="O99" s="27" t="str"/>
      <x:c r="P99" s="20" t="str">
        <x:f>IF(AND(G99&lt;&gt;"Not Needed",G99&lt;&gt;"Complete",OR(G99="Blocked",G99="At Risk",G99="In Progress",H99="Late",H99="Due Soon")),COUNT($P$6:P98)+1,"")</x:f>
      </x:c>
    </x:row>
    <x:row r="100" ht="24" customHeight="1">
      <x:c r="A100" s="21" t="str">
        <x:v>​7.9</x:v>
      </x:c>
      <x:c r="B100" s="24" t="str">
        <x:v>Security / Risk</x:v>
      </x:c>
      <x:c r="C100" s="24" t="str">
        <x:v>Security approval</x:v>
      </x:c>
      <x:c r="D100" s="24" t="str">
        <x:v>Security</x:v>
      </x:c>
      <x:c r="E100" s="25" t="n">
        <x:v>6</x:v>
      </x:c>
      <x:c r="F100" s="25" t="n">
        <x:v>6</x:v>
      </x:c>
      <x:c r="G100" s="26" t="str">
        <x:v>Not Started</x:v>
      </x:c>
      <x:c r="H100" s="26" t="str">
        <x:f>IF(G100="Not Needed","Not Needed",IF(G100="Complete","Complete",IF(G100="Blocked","Blocked",IF(G100="At Risk","At Risk",IF(OR(E100="",F100=""),"Schedule TBD",IF(F100&lt;'Overview'!$B$8,"Late",IF(E100&lt;='Overview'!$B$8+2,"Due Soon","On Track")))))))</x:f>
        <x:v>On Track</x:v>
      </x:c>
      <x:c r="I100" s="30" t="str"/>
      <x:c r="J100" s="30" t="str"/>
      <x:c r="K100" s="27" t="str"/>
      <x:c r="L100" s="27" t="str">
        <x:v>​7.8</x:v>
      </x:c>
      <x:c r="M100" s="28" t="n">
        <x:f>IF(OR(E100="",F100=""),"",F100-E100+1)</x:f>
        <x:v>1</x:v>
      </x:c>
      <x:c r="N100" s="29" t="str">
        <x:v>Milestone</x:v>
      </x:c>
      <x:c r="O100" s="27" t="str"/>
      <x:c r="P100" s="20" t="str">
        <x:f>IF(AND(G100&lt;&gt;"Not Needed",G100&lt;&gt;"Complete",OR(G100="Blocked",G100="At Risk",G100="In Progress",H100="Late",H100="Due Soon")),COUNT($P$6:P99)+1,"")</x:f>
      </x:c>
    </x:row>
    <x:row r="101" ht="24" customHeight="1">
      <x:c r="A101" s="21" t="str">
        <x:v>​8.1</x:v>
      </x:c>
      <x:c r="B101" s="24" t="str">
        <x:v>Configuration / Development</x:v>
      </x:c>
      <x:c r="C101" s="24" t="str">
        <x:v>Provision SavvyMoney test environment</x:v>
      </x:c>
      <x:c r="D101" s="24" t="str">
        <x:v>SavvyMoney</x:v>
      </x:c>
      <x:c r="E101" s="25" t="n">
        <x:v>5</x:v>
      </x:c>
      <x:c r="F101" s="25" t="n">
        <x:v>5</x:v>
      </x:c>
      <x:c r="G101" s="26" t="str">
        <x:v>Not Started</x:v>
      </x:c>
      <x:c r="H101" s="26" t="str">
        <x:f>IF(G101="Not Needed","Not Needed",IF(G101="Complete","Complete",IF(G101="Blocked","Blocked",IF(G101="At Risk","At Risk",IF(OR(E101="",F101=""),"Schedule TBD",IF(F101&lt;'Overview'!$B$8,"Late",IF(E101&lt;='Overview'!$B$8+2,"Due Soon","On Track")))))))</x:f>
        <x:v>On Track</x:v>
      </x:c>
      <x:c r="I101" s="30" t="str"/>
      <x:c r="J101" s="30" t="str"/>
      <x:c r="K101" s="27" t="str"/>
      <x:c r="L101" s="27" t="str">
        <x:v>​4.17</x:v>
      </x:c>
      <x:c r="M101" s="28" t="n">
        <x:f>IF(OR(E101="",F101=""),"",F101-E101+1)</x:f>
        <x:v>1</x:v>
      </x:c>
      <x:c r="N101" s="29" t="str"/>
      <x:c r="O101" s="27" t="str"/>
      <x:c r="P101" s="20" t="str">
        <x:f>IF(AND(G101&lt;&gt;"Not Needed",G101&lt;&gt;"Complete",OR(G101="Blocked",G101="At Risk",G101="In Progress",H101="Late",H101="Due Soon")),COUNT($P$6:P100)+1,"")</x:f>
      </x:c>
    </x:row>
    <x:row r="102" ht="24" customHeight="1">
      <x:c r="A102" s="21" t="str">
        <x:v>​8.2</x:v>
      </x:c>
      <x:c r="B102" s="24" t="str">
        <x:v>Configuration / Development</x:v>
      </x:c>
      <x:c r="C102" s="24" t="str">
        <x:v>Provision Fiserv test configuration</x:v>
      </x:c>
      <x:c r="D102" s="24" t="str">
        <x:v>Fiserv</x:v>
      </x:c>
      <x:c r="E102" s="25" t="n">
        <x:v>5</x:v>
      </x:c>
      <x:c r="F102" s="25" t="n">
        <x:v>5</x:v>
      </x:c>
      <x:c r="G102" s="26" t="str">
        <x:v>Not Started</x:v>
      </x:c>
      <x:c r="H102" s="26" t="str">
        <x:f>IF(G102="Not Needed","Not Needed",IF(G102="Complete","Complete",IF(G102="Blocked","Blocked",IF(G102="At Risk","At Risk",IF(OR(E102="",F102=""),"Schedule TBD",IF(F102&lt;'Overview'!$B$8,"Late",IF(E102&lt;='Overview'!$B$8+2,"Due Soon","On Track")))))))</x:f>
        <x:v>On Track</x:v>
      </x:c>
      <x:c r="I102" s="30" t="str"/>
      <x:c r="J102" s="30" t="str"/>
      <x:c r="K102" s="27" t="str"/>
      <x:c r="L102" s="27" t="str">
        <x:v>​4.17</x:v>
      </x:c>
      <x:c r="M102" s="28" t="n">
        <x:f>IF(OR(E102="",F102=""),"",F102-E102+1)</x:f>
        <x:v>1</x:v>
      </x:c>
      <x:c r="N102" s="29" t="str"/>
      <x:c r="O102" s="27" t="str"/>
      <x:c r="P102" s="20" t="str">
        <x:f>IF(AND(G102&lt;&gt;"Not Needed",G102&lt;&gt;"Complete",OR(G102="Blocked",G102="At Risk",G102="In Progress",H102="Late",H102="Due Soon")),COUNT($P$6:P101)+1,"")</x:f>
      </x:c>
    </x:row>
    <x:row r="103" ht="24" customHeight="1">
      <x:c r="A103" s="21" t="str">
        <x:v>​8.3</x:v>
      </x:c>
      <x:c r="B103" s="24" t="str">
        <x:v>Configuration / Development</x:v>
      </x:c>
      <x:c r="C103" s="24" t="str">
        <x:v>Configure client branding</x:v>
      </x:c>
      <x:c r="D103" s="24" t="str">
        <x:v>SavvyMoney</x:v>
      </x:c>
      <x:c r="E103" s="25" t="n">
        <x:v>5</x:v>
      </x:c>
      <x:c r="F103" s="25" t="n">
        <x:v>5</x:v>
      </x:c>
      <x:c r="G103" s="26" t="str">
        <x:v>Not Started</x:v>
      </x:c>
      <x:c r="H103" s="26" t="str">
        <x:f>IF(G103="Not Needed","Not Needed",IF(G103="Complete","Complete",IF(G103="Blocked","Blocked",IF(G103="At Risk","At Risk",IF(OR(E103="",F103=""),"Schedule TBD",IF(F103&lt;'Overview'!$B$8,"Late",IF(E103&lt;='Overview'!$B$8+2,"Due Soon","On Track")))))))</x:f>
        <x:v>On Track</x:v>
      </x:c>
      <x:c r="I103" s="30" t="str"/>
      <x:c r="J103" s="30" t="str"/>
      <x:c r="K103" s="27" t="str"/>
      <x:c r="L103" s="27" t="str">
        <x:v>​5.13</x:v>
      </x:c>
      <x:c r="M103" s="28" t="n">
        <x:f>IF(OR(E103="",F103=""),"",F103-E103+1)</x:f>
        <x:v>1</x:v>
      </x:c>
      <x:c r="N103" s="29" t="str"/>
      <x:c r="O103" s="27" t="str"/>
      <x:c r="P103" s="20" t="str">
        <x:f>IF(AND(G103&lt;&gt;"Not Needed",G103&lt;&gt;"Complete",OR(G103="Blocked",G103="At Risk",G103="In Progress",H103="Late",H103="Due Soon")),COUNT($P$6:P102)+1,"")</x:f>
      </x:c>
    </x:row>
    <x:row r="104" ht="24" customHeight="1">
      <x:c r="A104" s="21" t="str">
        <x:v>​8.4</x:v>
      </x:c>
      <x:c r="B104" s="24" t="str">
        <x:v>Configuration / Development</x:v>
      </x:c>
      <x:c r="C104" s="24" t="str">
        <x:v>Configure SSO</x:v>
      </x:c>
      <x:c r="D104" s="24" t="str">
        <x:v>Fiserv</x:v>
      </x:c>
      <x:c r="E104" s="25" t="n">
        <x:v>5</x:v>
      </x:c>
      <x:c r="F104" s="25" t="n">
        <x:v>6</x:v>
      </x:c>
      <x:c r="G104" s="26" t="str">
        <x:v>Not Started</x:v>
      </x:c>
      <x:c r="H104" s="26" t="str">
        <x:f>IF(G104="Not Needed","Not Needed",IF(G104="Complete","Complete",IF(G104="Blocked","Blocked",IF(G104="At Risk","At Risk",IF(OR(E104="",F104=""),"Schedule TBD",IF(F104&lt;'Overview'!$B$8,"Late",IF(E104&lt;='Overview'!$B$8+2,"Due Soon","On Track")))))))</x:f>
        <x:v>On Track</x:v>
      </x:c>
      <x:c r="I104" s="30" t="str"/>
      <x:c r="J104" s="30" t="str"/>
      <x:c r="K104" s="27" t="str">
        <x:v>SavvyMoney</x:v>
      </x:c>
      <x:c r="L104" s="27" t="str">
        <x:v>​8.1–8.2</x:v>
      </x:c>
      <x:c r="M104" s="28" t="n">
        <x:f>IF(OR(E104="",F104=""),"",F104-E104+1)</x:f>
        <x:v>2</x:v>
      </x:c>
      <x:c r="N104" s="29" t="str"/>
      <x:c r="O104" s="27" t="str"/>
      <x:c r="P104" s="20" t="str">
        <x:f>IF(AND(G104&lt;&gt;"Not Needed",G104&lt;&gt;"Complete",OR(G104="Blocked",G104="At Risk",G104="In Progress",H104="Late",H104="Due Soon")),COUNT($P$6:P103)+1,"")</x:f>
      </x:c>
    </x:row>
    <x:row r="105" ht="24" customHeight="1">
      <x:c r="A105" s="21" t="str">
        <x:v>​8.5</x:v>
      </x:c>
      <x:c r="B105" s="24" t="str">
        <x:v>Configuration / Development</x:v>
      </x:c>
      <x:c r="C105" s="24" t="str">
        <x:v>Configure customer attribute mapping</x:v>
      </x:c>
      <x:c r="D105" s="24" t="str">
        <x:v>Vendor</x:v>
      </x:c>
      <x:c r="E105" s="25" t="n">
        <x:v>6</x:v>
      </x:c>
      <x:c r="F105" s="25" t="n">
        <x:v>6</x:v>
      </x:c>
      <x:c r="G105" s="26" t="str">
        <x:v>Not Started</x:v>
      </x:c>
      <x:c r="H105" s="26" t="str">
        <x:f>IF(G105="Not Needed","Not Needed",IF(G105="Complete","Complete",IF(G105="Blocked","Blocked",IF(G105="At Risk","At Risk",IF(OR(E105="",F105=""),"Schedule TBD",IF(F105&lt;'Overview'!$B$8,"Late",IF(E105&lt;='Overview'!$B$8+2,"Due Soon","On Track")))))))</x:f>
        <x:v>On Track</x:v>
      </x:c>
      <x:c r="I105" s="30" t="str"/>
      <x:c r="J105" s="30" t="str"/>
      <x:c r="K105" s="27" t="str">
        <x:v>Client Tech</x:v>
      </x:c>
      <x:c r="L105" s="27" t="str">
        <x:v>​4.7</x:v>
      </x:c>
      <x:c r="M105" s="28" t="n">
        <x:f>IF(OR(E105="",F105=""),"",F105-E105+1)</x:f>
        <x:v>1</x:v>
      </x:c>
      <x:c r="N105" s="29" t="str"/>
      <x:c r="O105" s="27" t="str"/>
      <x:c r="P105" s="20" t="str">
        <x:f>IF(AND(G105&lt;&gt;"Not Needed",G105&lt;&gt;"Complete",OR(G105="Blocked",G105="At Risk",G105="In Progress",H105="Late",H105="Due Soon")),COUNT($P$6:P104)+1,"")</x:f>
      </x:c>
    </x:row>
    <x:row r="106" ht="24" customHeight="1">
      <x:c r="A106" s="21" t="str">
        <x:v>​8.6</x:v>
      </x:c>
      <x:c r="B106" s="24" t="str">
        <x:v>Configuration / Development</x:v>
      </x:c>
      <x:c r="C106" s="24" t="str">
        <x:v>Configure OLB navigation</x:v>
      </x:c>
      <x:c r="D106" s="24" t="str">
        <x:v>Fiserv</x:v>
      </x:c>
      <x:c r="E106" s="25" t="n">
        <x:v>6</x:v>
      </x:c>
      <x:c r="F106" s="25" t="n">
        <x:v>6</x:v>
      </x:c>
      <x:c r="G106" s="26" t="str">
        <x:v>Not Started</x:v>
      </x:c>
      <x:c r="H106" s="26" t="str">
        <x:f>IF(G106="Not Needed","Not Needed",IF(G106="Complete","Complete",IF(G106="Blocked","Blocked",IF(G106="At Risk","At Risk",IF(OR(E106="",F106=""),"Schedule TBD",IF(F106&lt;'Overview'!$B$8,"Late",IF(E106&lt;='Overview'!$B$8+2,"Due Soon","On Track")))))))</x:f>
        <x:v>On Track</x:v>
      </x:c>
      <x:c r="I106" s="30" t="str"/>
      <x:c r="J106" s="30" t="str"/>
      <x:c r="K106" s="27" t="str">
        <x:v>Client</x:v>
      </x:c>
      <x:c r="L106" s="27" t="str">
        <x:v>​5.13</x:v>
      </x:c>
      <x:c r="M106" s="28" t="n">
        <x:f>IF(OR(E106="",F106=""),"",F106-E106+1)</x:f>
        <x:v>1</x:v>
      </x:c>
      <x:c r="N106" s="29" t="str"/>
      <x:c r="O106" s="27" t="str"/>
      <x:c r="P106" s="20" t="str">
        <x:f>IF(AND(G106&lt;&gt;"Not Needed",G106&lt;&gt;"Complete",OR(G106="Blocked",G106="At Risk",G106="In Progress",H106="Late",H106="Due Soon")),COUNT($P$6:P105)+1,"")</x:f>
      </x:c>
    </x:row>
    <x:row r="107" ht="24" customHeight="1">
      <x:c r="A107" s="21" t="str">
        <x:v>​8.7</x:v>
      </x:c>
      <x:c r="B107" s="24" t="str">
        <x:v>Configuration / Development</x:v>
      </x:c>
      <x:c r="C107" s="24" t="str">
        <x:v>Configure mobile navigation</x:v>
      </x:c>
      <x:c r="D107" s="24" t="str">
        <x:v>Fiserv</x:v>
      </x:c>
      <x:c r="E107" s="25" t="n">
        <x:v>6</x:v>
      </x:c>
      <x:c r="F107" s="25" t="n">
        <x:v>6</x:v>
      </x:c>
      <x:c r="G107" s="26" t="str">
        <x:v>Not Started</x:v>
      </x:c>
      <x:c r="H107" s="26" t="str">
        <x:f>IF(G107="Not Needed","Not Needed",IF(G107="Complete","Complete",IF(G107="Blocked","Blocked",IF(G107="At Risk","At Risk",IF(OR(E107="",F107=""),"Schedule TBD",IF(F107&lt;'Overview'!$B$8,"Late",IF(E107&lt;='Overview'!$B$8+2,"Due Soon","On Track")))))))</x:f>
        <x:v>On Track</x:v>
      </x:c>
      <x:c r="I107" s="30" t="str"/>
      <x:c r="J107" s="30" t="str"/>
      <x:c r="K107" s="27" t="str">
        <x:v>Client</x:v>
      </x:c>
      <x:c r="L107" s="27" t="str">
        <x:v>​5.13</x:v>
      </x:c>
      <x:c r="M107" s="28" t="n">
        <x:f>IF(OR(E107="",F107=""),"",F107-E107+1)</x:f>
        <x:v>1</x:v>
      </x:c>
      <x:c r="N107" s="29" t="str"/>
      <x:c r="O107" s="27" t="str"/>
      <x:c r="P107" s="20" t="str">
        <x:f>IF(AND(G107&lt;&gt;"Not Needed",G107&lt;&gt;"Complete",OR(G107="Blocked",G107="At Risk",G107="In Progress",H107="Late",H107="Due Soon")),COUNT($P$6:P106)+1,"")</x:f>
      </x:c>
    </x:row>
    <x:row r="108" ht="24" customHeight="1">
      <x:c r="A108" s="21" t="str">
        <x:v>​8.8</x:v>
      </x:c>
      <x:c r="B108" s="24" t="str">
        <x:v>Configuration / Development</x:v>
      </x:c>
      <x:c r="C108" s="24" t="str">
        <x:v>Configure entitlements</x:v>
      </x:c>
      <x:c r="D108" s="24" t="str">
        <x:v>Fiserv</x:v>
      </x:c>
      <x:c r="E108" s="25" t="n">
        <x:v>6</x:v>
      </x:c>
      <x:c r="F108" s="25" t="n">
        <x:v>6</x:v>
      </x:c>
      <x:c r="G108" s="26" t="str">
        <x:v>Not Started</x:v>
      </x:c>
      <x:c r="H108" s="26" t="str">
        <x:f>IF(G108="Not Needed","Not Needed",IF(G108="Complete","Complete",IF(G108="Blocked","Blocked",IF(G108="At Risk","At Risk",IF(OR(E108="",F108=""),"Schedule TBD",IF(F108&lt;'Overview'!$B$8,"Late",IF(E108&lt;='Overview'!$B$8+2,"Due Soon","On Track")))))))</x:f>
        <x:v>On Track</x:v>
      </x:c>
      <x:c r="I108" s="30" t="str"/>
      <x:c r="J108" s="30" t="str"/>
      <x:c r="K108" s="27" t="str"/>
      <x:c r="L108" s="27" t="str">
        <x:v>​8.2</x:v>
      </x:c>
      <x:c r="M108" s="28" t="n">
        <x:f>IF(OR(E108="",F108=""),"",F108-E108+1)</x:f>
        <x:v>1</x:v>
      </x:c>
      <x:c r="N108" s="29" t="str"/>
      <x:c r="O108" s="27" t="str"/>
      <x:c r="P108" s="20" t="str">
        <x:f>IF(AND(G108&lt;&gt;"Not Needed",G108&lt;&gt;"Complete",OR(G108="Blocked",G108="At Risk",G108="In Progress",H108="Late",H108="Due Soon")),COUNT($P$6:P107)+1,"")</x:f>
      </x:c>
    </x:row>
    <x:row r="109" ht="24" customHeight="1">
      <x:c r="A109" s="21" t="str">
        <x:v>​8.9</x:v>
      </x:c>
      <x:c r="B109" s="24" t="str">
        <x:v>Configuration / Development</x:v>
      </x:c>
      <x:c r="C109" s="24" t="str">
        <x:v>Configure enrollment</x:v>
      </x:c>
      <x:c r="D109" s="24" t="str">
        <x:v>SavvyMoney</x:v>
      </x:c>
      <x:c r="E109" s="25" t="n">
        <x:v>6</x:v>
      </x:c>
      <x:c r="F109" s="25" t="n">
        <x:v>6</x:v>
      </x:c>
      <x:c r="G109" s="26" t="str">
        <x:v>Not Started</x:v>
      </x:c>
      <x:c r="H109" s="26" t="str">
        <x:f>IF(G109="Not Needed","Not Needed",IF(G109="Complete","Complete",IF(G109="Blocked","Blocked",IF(G109="At Risk","At Risk",IF(OR(E109="",F109=""),"Schedule TBD",IF(F109&lt;'Overview'!$B$8,"Late",IF(E109&lt;='Overview'!$B$8+2,"Due Soon","On Track")))))))</x:f>
        <x:v>On Track</x:v>
      </x:c>
      <x:c r="I109" s="30" t="str"/>
      <x:c r="J109" s="30" t="str"/>
      <x:c r="K109" s="27" t="str"/>
      <x:c r="L109" s="27" t="str">
        <x:v>​8.4–8.5</x:v>
      </x:c>
      <x:c r="M109" s="28" t="n">
        <x:f>IF(OR(E109="",F109=""),"",F109-E109+1)</x:f>
        <x:v>1</x:v>
      </x:c>
      <x:c r="N109" s="29" t="str"/>
      <x:c r="O109" s="27" t="str"/>
      <x:c r="P109" s="20" t="str">
        <x:f>IF(AND(G109&lt;&gt;"Not Needed",G109&lt;&gt;"Complete",OR(G109="Blocked",G109="At Risk",G109="In Progress",H109="Late",H109="Due Soon")),COUNT($P$6:P108)+1,"")</x:f>
      </x:c>
    </x:row>
    <x:row r="110" ht="24" customHeight="1">
      <x:c r="A110" s="21" t="str">
        <x:v>​8.10</x:v>
      </x:c>
      <x:c r="B110" s="24" t="str">
        <x:v>Configuration / Development</x:v>
      </x:c>
      <x:c r="C110" s="24" t="str">
        <x:v>Configure disclosures</x:v>
      </x:c>
      <x:c r="D110" s="24" t="str">
        <x:v>SavvyMoney</x:v>
      </x:c>
      <x:c r="E110" s="25" t="n">
        <x:v>6</x:v>
      </x:c>
      <x:c r="F110" s="25" t="n">
        <x:v>6</x:v>
      </x:c>
      <x:c r="G110" s="26" t="str">
        <x:v>Not Started</x:v>
      </x:c>
      <x:c r="H110" s="26" t="str">
        <x:f>IF(G110="Not Needed","Not Needed",IF(G110="Complete","Complete",IF(G110="Blocked","Blocked",IF(G110="At Risk","At Risk",IF(OR(E110="",F110=""),"Schedule TBD",IF(F110&lt;'Overview'!$B$8,"Late",IF(E110&lt;='Overview'!$B$8+2,"Due Soon","On Track")))))))</x:f>
        <x:v>On Track</x:v>
      </x:c>
      <x:c r="I110" s="30" t="str"/>
      <x:c r="J110" s="30" t="str"/>
      <x:c r="K110" s="27" t="str">
        <x:v>Client</x:v>
      </x:c>
      <x:c r="L110" s="27" t="str">
        <x:v>​6.13</x:v>
      </x:c>
      <x:c r="M110" s="28" t="n">
        <x:f>IF(OR(E110="",F110=""),"",F110-E110+1)</x:f>
        <x:v>1</x:v>
      </x:c>
      <x:c r="N110" s="29" t="str"/>
      <x:c r="O110" s="27" t="str"/>
      <x:c r="P110" s="20" t="str">
        <x:f>IF(AND(G110&lt;&gt;"Not Needed",G110&lt;&gt;"Complete",OR(G110="Blocked",G110="At Risk",G110="In Progress",H110="Late",H110="Due Soon")),COUNT($P$6:P109)+1,"")</x:f>
      </x:c>
    </x:row>
    <x:row r="111" ht="24" customHeight="1">
      <x:c r="A111" s="21" t="str">
        <x:v>​8.11</x:v>
      </x:c>
      <x:c r="B111" s="24" t="str">
        <x:v>Configuration / Development</x:v>
      </x:c>
      <x:c r="C111" s="24" t="str">
        <x:v>Configure support links</x:v>
      </x:c>
      <x:c r="D111" s="24" t="str">
        <x:v>Client</x:v>
      </x:c>
      <x:c r="E111" s="25" t="n">
        <x:v>6</x:v>
      </x:c>
      <x:c r="F111" s="25" t="n">
        <x:v>6</x:v>
      </x:c>
      <x:c r="G111" s="26" t="str">
        <x:v>Not Started</x:v>
      </x:c>
      <x:c r="H111" s="26" t="str">
        <x:f>IF(G111="Not Needed","Not Needed",IF(G111="Complete","Complete",IF(G111="Blocked","Blocked",IF(G111="At Risk","At Risk",IF(OR(E111="",F111=""),"Schedule TBD",IF(F111&lt;'Overview'!$B$8,"Late",IF(E111&lt;='Overview'!$B$8+2,"Due Soon","On Track")))))))</x:f>
        <x:v>On Track</x:v>
      </x:c>
      <x:c r="I111" s="30" t="str"/>
      <x:c r="J111" s="30" t="str"/>
      <x:c r="K111" s="27" t="str">
        <x:v>Vendor</x:v>
      </x:c>
      <x:c r="L111" s="27" t="str">
        <x:v>​5.8</x:v>
      </x:c>
      <x:c r="M111" s="28" t="n">
        <x:f>IF(OR(E111="",F111=""),"",F111-E111+1)</x:f>
        <x:v>1</x:v>
      </x:c>
      <x:c r="N111" s="29" t="str"/>
      <x:c r="O111" s="27" t="str"/>
      <x:c r="P111" s="20" t="str">
        <x:f>IF(AND(G111&lt;&gt;"Not Needed",G111&lt;&gt;"Complete",OR(G111="Blocked",G111="At Risk",G111="In Progress",H111="Late",H111="Due Soon")),COUNT($P$6:P110)+1,"")</x:f>
      </x:c>
    </x:row>
    <x:row r="112" ht="24" customHeight="1">
      <x:c r="A112" s="21" t="str">
        <x:v>​8.12</x:v>
      </x:c>
      <x:c r="B112" s="24" t="str">
        <x:v>Configuration / Development</x:v>
      </x:c>
      <x:c r="C112" s="24" t="str">
        <x:v>Configure analytics tagging</x:v>
      </x:c>
      <x:c r="D112" s="24" t="str">
        <x:v>Data</x:v>
      </x:c>
      <x:c r="E112" s="25" t="n">
        <x:v>7</x:v>
      </x:c>
      <x:c r="F112" s="25" t="n">
        <x:v>7</x:v>
      </x:c>
      <x:c r="G112" s="26" t="str">
        <x:v>Not Started</x:v>
      </x:c>
      <x:c r="H112" s="26" t="str">
        <x:f>IF(G112="Not Needed","Not Needed",IF(G112="Complete","Complete",IF(G112="Blocked","Blocked",IF(G112="At Risk","At Risk",IF(OR(E112="",F112=""),"Schedule TBD",IF(F112&lt;'Overview'!$B$8,"Late",IF(E112&lt;='Overview'!$B$8+2,"Due Soon","On Track")))))))</x:f>
        <x:v>On Track</x:v>
      </x:c>
      <x:c r="I112" s="30" t="str"/>
      <x:c r="J112" s="30" t="str"/>
      <x:c r="K112" s="27" t="str">
        <x:v>Tech</x:v>
      </x:c>
      <x:c r="L112" s="27" t="str">
        <x:v>​2.12</x:v>
      </x:c>
      <x:c r="M112" s="28" t="n">
        <x:f>IF(OR(E112="",F112=""),"",F112-E112+1)</x:f>
        <x:v>1</x:v>
      </x:c>
      <x:c r="N112" s="29" t="str"/>
      <x:c r="O112" s="27" t="str"/>
      <x:c r="P112" s="20" t="str">
        <x:f>IF(AND(G112&lt;&gt;"Not Needed",G112&lt;&gt;"Complete",OR(G112="Blocked",G112="At Risk",G112="In Progress",H112="Late",H112="Due Soon")),COUNT($P$6:P111)+1,"")</x:f>
      </x:c>
    </x:row>
    <x:row r="113" ht="24" customHeight="1">
      <x:c r="A113" s="21" t="str">
        <x:v>​8.13</x:v>
      </x:c>
      <x:c r="B113" s="24" t="str">
        <x:v>Configuration / Development</x:v>
      </x:c>
      <x:c r="C113" s="24" t="str">
        <x:v>Configure production monitoring</x:v>
      </x:c>
      <x:c r="D113" s="24" t="str">
        <x:v>Tech</x:v>
      </x:c>
      <x:c r="E113" s="25" t="n">
        <x:v>7</x:v>
      </x:c>
      <x:c r="F113" s="25" t="n">
        <x:v>7</x:v>
      </x:c>
      <x:c r="G113" s="26" t="str">
        <x:v>Not Started</x:v>
      </x:c>
      <x:c r="H113" s="26" t="str">
        <x:f>IF(G113="Not Needed","Not Needed",IF(G113="Complete","Complete",IF(G113="Blocked","Blocked",IF(G113="At Risk","At Risk",IF(OR(E113="",F113=""),"Schedule TBD",IF(F113&lt;'Overview'!$B$8,"Late",IF(E113&lt;='Overview'!$B$8+2,"Due Soon","On Track")))))))</x:f>
        <x:v>On Track</x:v>
      </x:c>
      <x:c r="I113" s="30" t="str"/>
      <x:c r="J113" s="30" t="str"/>
      <x:c r="K113" s="27" t="str"/>
      <x:c r="L113" s="27" t="str">
        <x:v>​7.7</x:v>
      </x:c>
      <x:c r="M113" s="28" t="n">
        <x:f>IF(OR(E113="",F113=""),"",F113-E113+1)</x:f>
        <x:v>1</x:v>
      </x:c>
      <x:c r="N113" s="29" t="str"/>
      <x:c r="O113" s="27" t="str"/>
      <x:c r="P113" s="20" t="str">
        <x:f>IF(AND(G113&lt;&gt;"Not Needed",G113&lt;&gt;"Complete",OR(G113="Blocked",G113="At Risk",G113="In Progress",H113="Late",H113="Due Soon")),COUNT($P$6:P112)+1,"")</x:f>
      </x:c>
    </x:row>
    <x:row r="114" ht="24" customHeight="1">
      <x:c r="A114" s="21" t="str">
        <x:v>​8.14</x:v>
      </x:c>
      <x:c r="B114" s="24" t="str">
        <x:v>Configuration / Development</x:v>
      </x:c>
      <x:c r="C114" s="24" t="str">
        <x:v>Developer integration testing</x:v>
      </x:c>
      <x:c r="D114" s="24" t="str">
        <x:v>Tech</x:v>
      </x:c>
      <x:c r="E114" s="25" t="n">
        <x:v>7</x:v>
      </x:c>
      <x:c r="F114" s="25" t="n">
        <x:v>7</x:v>
      </x:c>
      <x:c r="G114" s="26" t="str">
        <x:v>Not Started</x:v>
      </x:c>
      <x:c r="H114" s="26" t="str">
        <x:f>IF(G114="Not Needed","Not Needed",IF(G114="Complete","Complete",IF(G114="Blocked","Blocked",IF(G114="At Risk","At Risk",IF(OR(E114="",F114=""),"Schedule TBD",IF(F114&lt;'Overview'!$B$8,"Late",IF(E114&lt;='Overview'!$B$8+2,"Due Soon","On Track")))))))</x:f>
        <x:v>On Track</x:v>
      </x:c>
      <x:c r="I114" s="30" t="str"/>
      <x:c r="J114" s="30" t="str"/>
      <x:c r="K114" s="27" t="str">
        <x:v>Vendor</x:v>
      </x:c>
      <x:c r="L114" s="27" t="str">
        <x:v>​8.4–8.13</x:v>
      </x:c>
      <x:c r="M114" s="28" t="n">
        <x:f>IF(OR(E114="",F114=""),"",F114-E114+1)</x:f>
        <x:v>1</x:v>
      </x:c>
      <x:c r="N114" s="29" t="str"/>
      <x:c r="O114" s="27" t="str"/>
      <x:c r="P114" s="20" t="str">
        <x:f>IF(AND(G114&lt;&gt;"Not Needed",G114&lt;&gt;"Complete",OR(G114="Blocked",G114="At Risk",G114="In Progress",H114="Late",H114="Due Soon")),COUNT($P$6:P113)+1,"")</x:f>
      </x:c>
    </x:row>
    <x:row r="115" ht="24" customHeight="1">
      <x:c r="A115" s="21" t="str">
        <x:v>​8.15</x:v>
      </x:c>
      <x:c r="B115" s="24" t="str">
        <x:v>Configuration / Development</x:v>
      </x:c>
      <x:c r="C115" s="24" t="str">
        <x:v>Correct integration issues</x:v>
      </x:c>
      <x:c r="D115" s="24" t="str">
        <x:v>Tech</x:v>
      </x:c>
      <x:c r="E115" s="25" t="n">
        <x:v>7</x:v>
      </x:c>
      <x:c r="F115" s="25" t="n">
        <x:v>8</x:v>
      </x:c>
      <x:c r="G115" s="26" t="str">
        <x:v>Not Started</x:v>
      </x:c>
      <x:c r="H115" s="26" t="str">
        <x:f>IF(G115="Not Needed","Not Needed",IF(G115="Complete","Complete",IF(G115="Blocked","Blocked",IF(G115="At Risk","At Risk",IF(OR(E115="",F115=""),"Schedule TBD",IF(F115&lt;'Overview'!$B$8,"Late",IF(E115&lt;='Overview'!$B$8+2,"Due Soon","On Track")))))))</x:f>
        <x:v>On Track</x:v>
      </x:c>
      <x:c r="I115" s="30" t="str"/>
      <x:c r="J115" s="30" t="str"/>
      <x:c r="K115" s="27" t="str">
        <x:v>Vendor</x:v>
      </x:c>
      <x:c r="L115" s="27" t="str">
        <x:v>​8.14</x:v>
      </x:c>
      <x:c r="M115" s="28" t="n">
        <x:f>IF(OR(E115="",F115=""),"",F115-E115+1)</x:f>
        <x:v>2</x:v>
      </x:c>
      <x:c r="N115" s="29" t="str"/>
      <x:c r="O115" s="27" t="str"/>
      <x:c r="P115" s="20" t="str">
        <x:f>IF(AND(G115&lt;&gt;"Not Needed",G115&lt;&gt;"Complete",OR(G115="Blocked",G115="At Risk",G115="In Progress",H115="Late",H115="Due Soon")),COUNT($P$6:P114)+1,"")</x:f>
      </x:c>
    </x:row>
    <x:row r="116" ht="24" customHeight="1">
      <x:c r="A116" s="21" t="str">
        <x:v>​8.16</x:v>
      </x:c>
      <x:c r="B116" s="24" t="str">
        <x:v>Configuration / Development</x:v>
      </x:c>
      <x:c r="C116" s="24" t="str">
        <x:v>Build complete</x:v>
      </x:c>
      <x:c r="D116" s="24" t="str">
        <x:v>PM</x:v>
      </x:c>
      <x:c r="E116" s="25" t="n">
        <x:v>8</x:v>
      </x:c>
      <x:c r="F116" s="25" t="n">
        <x:v>8</x:v>
      </x:c>
      <x:c r="G116" s="26" t="str">
        <x:v>Not Started</x:v>
      </x:c>
      <x:c r="H116" s="26" t="str">
        <x:f>IF(G116="Not Needed","Not Needed",IF(G116="Complete","Complete",IF(G116="Blocked","Blocked",IF(G116="At Risk","At Risk",IF(OR(E116="",F116=""),"Schedule TBD",IF(F116&lt;'Overview'!$B$8,"Late",IF(E116&lt;='Overview'!$B$8+2,"Due Soon","On Track")))))))</x:f>
        <x:v>On Track</x:v>
      </x:c>
      <x:c r="I116" s="30" t="str"/>
      <x:c r="J116" s="30" t="str"/>
      <x:c r="K116" s="27" t="str">
        <x:v>Tech</x:v>
      </x:c>
      <x:c r="L116" s="27" t="str">
        <x:v>​8.15</x:v>
      </x:c>
      <x:c r="M116" s="28" t="n">
        <x:f>IF(OR(E116="",F116=""),"",F116-E116+1)</x:f>
        <x:v>1</x:v>
      </x:c>
      <x:c r="N116" s="29" t="str">
        <x:v>Milestone</x:v>
      </x:c>
      <x:c r="O116" s="27" t="str"/>
      <x:c r="P116" s="20" t="str">
        <x:f>IF(AND(G116&lt;&gt;"Not Needed",G116&lt;&gt;"Complete",OR(G116="Blocked",G116="At Risk",G116="In Progress",H116="Late",H116="Due Soon")),COUNT($P$6:P115)+1,"")</x:f>
      </x:c>
    </x:row>
    <x:row r="117" ht="24" customHeight="1">
      <x:c r="A117" s="21" t="str">
        <x:v>​9.1</x:v>
      </x:c>
      <x:c r="B117" s="24" t="str">
        <x:v>QA / System Testing</x:v>
      </x:c>
      <x:c r="C117" s="24" t="str">
        <x:v>Create master test plan</x:v>
      </x:c>
      <x:c r="D117" s="24" t="str">
        <x:v>QA</x:v>
      </x:c>
      <x:c r="E117" s="25" t="n">
        <x:v>7</x:v>
      </x:c>
      <x:c r="F117" s="25" t="n">
        <x:v>7</x:v>
      </x:c>
      <x:c r="G117" s="26" t="str">
        <x:v>Not Started</x:v>
      </x:c>
      <x:c r="H117" s="26" t="str">
        <x:f>IF(G117="Not Needed","Not Needed",IF(G117="Complete","Complete",IF(G117="Blocked","Blocked",IF(G117="At Risk","At Risk",IF(OR(E117="",F117=""),"Schedule TBD",IF(F117&lt;'Overview'!$B$8,"Late",IF(E117&lt;='Overview'!$B$8+2,"Due Soon","On Track")))))))</x:f>
        <x:v>On Track</x:v>
      </x:c>
      <x:c r="I117" s="30" t="str"/>
      <x:c r="J117" s="30" t="str"/>
      <x:c r="K117" s="27" t="str"/>
      <x:c r="L117" s="27" t="str">
        <x:v>​2.14, 4.17</x:v>
      </x:c>
      <x:c r="M117" s="28" t="n">
        <x:f>IF(OR(E117="",F117=""),"",F117-E117+1)</x:f>
        <x:v>1</x:v>
      </x:c>
      <x:c r="N117" s="29" t="str"/>
      <x:c r="O117" s="27" t="str"/>
      <x:c r="P117" s="20" t="str">
        <x:f>IF(AND(G117&lt;&gt;"Not Needed",G117&lt;&gt;"Complete",OR(G117="Blocked",G117="At Risk",G117="In Progress",H117="Late",H117="Due Soon")),COUNT($P$6:P116)+1,"")</x:f>
      </x:c>
    </x:row>
    <x:row r="118" ht="24" customHeight="1">
      <x:c r="A118" s="21" t="str">
        <x:v>​9.2</x:v>
      </x:c>
      <x:c r="B118" s="24" t="str">
        <x:v>QA / System Testing</x:v>
      </x:c>
      <x:c r="C118" s="24" t="str">
        <x:v>Create test accounts</x:v>
      </x:c>
      <x:c r="D118" s="24" t="str">
        <x:v>QA</x:v>
      </x:c>
      <x:c r="E118" s="25" t="n">
        <x:v>7</x:v>
      </x:c>
      <x:c r="F118" s="25" t="n">
        <x:v>7</x:v>
      </x:c>
      <x:c r="G118" s="26" t="str">
        <x:v>Not Started</x:v>
      </x:c>
      <x:c r="H118" s="26" t="str">
        <x:f>IF(G118="Not Needed","Not Needed",IF(G118="Complete","Complete",IF(G118="Blocked","Blocked",IF(G118="At Risk","At Risk",IF(OR(E118="",F118=""),"Schedule TBD",IF(F118&lt;'Overview'!$B$8,"Late",IF(E118&lt;='Overview'!$B$8+2,"Due Soon","On Track")))))))</x:f>
        <x:v>On Track</x:v>
      </x:c>
      <x:c r="I118" s="30" t="str"/>
      <x:c r="J118" s="30" t="str"/>
      <x:c r="K118" s="27" t="str">
        <x:v>Tech</x:v>
      </x:c>
      <x:c r="L118" s="27" t="str">
        <x:v>​8.1–8.2</x:v>
      </x:c>
      <x:c r="M118" s="28" t="n">
        <x:f>IF(OR(E118="",F118=""),"",F118-E118+1)</x:f>
        <x:v>1</x:v>
      </x:c>
      <x:c r="N118" s="29" t="str"/>
      <x:c r="O118" s="27" t="str"/>
      <x:c r="P118" s="20" t="str">
        <x:f>IF(AND(G118&lt;&gt;"Not Needed",G118&lt;&gt;"Complete",OR(G118="Blocked",G118="At Risk",G118="In Progress",H118="Late",H118="Due Soon")),COUNT($P$6:P117)+1,"")</x:f>
      </x:c>
    </x:row>
    <x:row r="119" ht="24" customHeight="1">
      <x:c r="A119" s="21" t="str">
        <x:v>​9.3</x:v>
      </x:c>
      <x:c r="B119" s="24" t="str">
        <x:v>QA / System Testing</x:v>
      </x:c>
      <x:c r="C119" s="24" t="str">
        <x:v>Test first-time enrollment</x:v>
      </x:c>
      <x:c r="D119" s="24" t="str">
        <x:v>QA</x:v>
      </x:c>
      <x:c r="E119" s="25" t="n">
        <x:v>8</x:v>
      </x:c>
      <x:c r="F119" s="25" t="n">
        <x:v>8</x:v>
      </x:c>
      <x:c r="G119" s="26" t="str">
        <x:v>Not Started</x:v>
      </x:c>
      <x:c r="H119" s="26" t="str">
        <x:f>IF(G119="Not Needed","Not Needed",IF(G119="Complete","Complete",IF(G119="Blocked","Blocked",IF(G119="At Risk","At Risk",IF(OR(E119="",F119=""),"Schedule TBD",IF(F119&lt;'Overview'!$B$8,"Late",IF(E119&lt;='Overview'!$B$8+2,"Due Soon","On Track")))))))</x:f>
        <x:v>On Track</x:v>
      </x:c>
      <x:c r="I119" s="30" t="str"/>
      <x:c r="J119" s="30" t="str"/>
      <x:c r="K119" s="27" t="str"/>
      <x:c r="L119" s="27" t="str">
        <x:v>​8.16</x:v>
      </x:c>
      <x:c r="M119" s="28" t="n">
        <x:f>IF(OR(E119="",F119=""),"",F119-E119+1)</x:f>
        <x:v>1</x:v>
      </x:c>
      <x:c r="N119" s="29" t="str"/>
      <x:c r="O119" s="27" t="str"/>
      <x:c r="P119" s="20" t="str">
        <x:f>IF(AND(G119&lt;&gt;"Not Needed",G119&lt;&gt;"Complete",OR(G119="Blocked",G119="At Risk",G119="In Progress",H119="Late",H119="Due Soon")),COUNT($P$6:P118)+1,"")</x:f>
      </x:c>
    </x:row>
    <x:row r="120" ht="24" customHeight="1">
      <x:c r="A120" s="21" t="str">
        <x:v>​9.4</x:v>
      </x:c>
      <x:c r="B120" s="24" t="str">
        <x:v>QA / System Testing</x:v>
      </x:c>
      <x:c r="C120" s="24" t="str">
        <x:v>Test returning customer</x:v>
      </x:c>
      <x:c r="D120" s="24" t="str">
        <x:v>QA</x:v>
      </x:c>
      <x:c r="E120" s="25" t="n">
        <x:v>8</x:v>
      </x:c>
      <x:c r="F120" s="25" t="n">
        <x:v>8</x:v>
      </x:c>
      <x:c r="G120" s="26" t="str">
        <x:v>Not Started</x:v>
      </x:c>
      <x:c r="H120" s="26" t="str">
        <x:f>IF(G120="Not Needed","Not Needed",IF(G120="Complete","Complete",IF(G120="Blocked","Blocked",IF(G120="At Risk","At Risk",IF(OR(E120="",F120=""),"Schedule TBD",IF(F120&lt;'Overview'!$B$8,"Late",IF(E120&lt;='Overview'!$B$8+2,"Due Soon","On Track")))))))</x:f>
        <x:v>On Track</x:v>
      </x:c>
      <x:c r="I120" s="30" t="str"/>
      <x:c r="J120" s="30" t="str"/>
      <x:c r="K120" s="27" t="str"/>
      <x:c r="L120" s="27" t="str">
        <x:v>​8.16</x:v>
      </x:c>
      <x:c r="M120" s="28" t="n">
        <x:f>IF(OR(E120="",F120=""),"",F120-E120+1)</x:f>
        <x:v>1</x:v>
      </x:c>
      <x:c r="N120" s="29" t="str"/>
      <x:c r="O120" s="27" t="str"/>
      <x:c r="P120" s="20" t="str">
        <x:f>IF(AND(G120&lt;&gt;"Not Needed",G120&lt;&gt;"Complete",OR(G120="Blocked",G120="At Risk",G120="In Progress",H120="Late",H120="Due Soon")),COUNT($P$6:P119)+1,"")</x:f>
      </x:c>
    </x:row>
    <x:row r="121" ht="24" customHeight="1">
      <x:c r="A121" s="21" t="str">
        <x:v>​9.5</x:v>
      </x:c>
      <x:c r="B121" s="24" t="str">
        <x:v>QA / System Testing</x:v>
      </x:c>
      <x:c r="C121" s="24" t="str">
        <x:v>Test SSO</x:v>
      </x:c>
      <x:c r="D121" s="24" t="str">
        <x:v>QA</x:v>
      </x:c>
      <x:c r="E121" s="25" t="n">
        <x:v>8</x:v>
      </x:c>
      <x:c r="F121" s="25" t="n">
        <x:v>8</x:v>
      </x:c>
      <x:c r="G121" s="26" t="str">
        <x:v>Not Started</x:v>
      </x:c>
      <x:c r="H121" s="26" t="str">
        <x:f>IF(G121="Not Needed","Not Needed",IF(G121="Complete","Complete",IF(G121="Blocked","Blocked",IF(G121="At Risk","At Risk",IF(OR(E121="",F121=""),"Schedule TBD",IF(F121&lt;'Overview'!$B$8,"Late",IF(E121&lt;='Overview'!$B$8+2,"Due Soon","On Track")))))))</x:f>
        <x:v>On Track</x:v>
      </x:c>
      <x:c r="I121" s="30" t="str"/>
      <x:c r="J121" s="30" t="str"/>
      <x:c r="K121" s="27" t="str"/>
      <x:c r="L121" s="27" t="str">
        <x:v>​8.16</x:v>
      </x:c>
      <x:c r="M121" s="28" t="n">
        <x:f>IF(OR(E121="",F121=""),"",F121-E121+1)</x:f>
        <x:v>1</x:v>
      </x:c>
      <x:c r="N121" s="29" t="str"/>
      <x:c r="O121" s="27" t="str"/>
      <x:c r="P121" s="20" t="str">
        <x:f>IF(AND(G121&lt;&gt;"Not Needed",G121&lt;&gt;"Complete",OR(G121="Blocked",G121="At Risk",G121="In Progress",H121="Late",H121="Due Soon")),COUNT($P$6:P120)+1,"")</x:f>
      </x:c>
    </x:row>
    <x:row r="122" ht="24" customHeight="1">
      <x:c r="A122" s="21" t="str">
        <x:v>​9.6</x:v>
      </x:c>
      <x:c r="B122" s="24" t="str">
        <x:v>QA / System Testing</x:v>
      </x:c>
      <x:c r="C122" s="24" t="str">
        <x:v>Validate customer data mapping</x:v>
      </x:c>
      <x:c r="D122" s="24" t="str">
        <x:v>QA</x:v>
      </x:c>
      <x:c r="E122" s="25" t="n">
        <x:v>8</x:v>
      </x:c>
      <x:c r="F122" s="25" t="n">
        <x:v>8</x:v>
      </x:c>
      <x:c r="G122" s="26" t="str">
        <x:v>Not Started</x:v>
      </x:c>
      <x:c r="H122" s="26" t="str">
        <x:f>IF(G122="Not Needed","Not Needed",IF(G122="Complete","Complete",IF(G122="Blocked","Blocked",IF(G122="At Risk","At Risk",IF(OR(E122="",F122=""),"Schedule TBD",IF(F122&lt;'Overview'!$B$8,"Late",IF(E122&lt;='Overview'!$B$8+2,"Due Soon","On Track")))))))</x:f>
        <x:v>On Track</x:v>
      </x:c>
      <x:c r="I122" s="30" t="str"/>
      <x:c r="J122" s="30" t="str"/>
      <x:c r="K122" s="27" t="str"/>
      <x:c r="L122" s="27" t="str">
        <x:v>​8.16</x:v>
      </x:c>
      <x:c r="M122" s="28" t="n">
        <x:f>IF(OR(E122="",F122=""),"",F122-E122+1)</x:f>
        <x:v>1</x:v>
      </x:c>
      <x:c r="N122" s="29" t="str"/>
      <x:c r="O122" s="27" t="str"/>
      <x:c r="P122" s="20" t="str">
        <x:f>IF(AND(G122&lt;&gt;"Not Needed",G122&lt;&gt;"Complete",OR(G122="Blocked",G122="At Risk",G122="In Progress",H122="Late",H122="Due Soon")),COUNT($P$6:P121)+1,"")</x:f>
      </x:c>
    </x:row>
    <x:row r="123" ht="24" customHeight="1">
      <x:c r="A123" s="21" t="str">
        <x:v>​9.7</x:v>
      </x:c>
      <x:c r="B123" s="24" t="str">
        <x:v>QA / System Testing</x:v>
      </x:c>
      <x:c r="C123" s="24" t="str">
        <x:v>Test OLB entry point</x:v>
      </x:c>
      <x:c r="D123" s="24" t="str">
        <x:v>QA</x:v>
      </x:c>
      <x:c r="E123" s="25" t="n">
        <x:v>8</x:v>
      </x:c>
      <x:c r="F123" s="25" t="n">
        <x:v>8</x:v>
      </x:c>
      <x:c r="G123" s="26" t="str">
        <x:v>Not Started</x:v>
      </x:c>
      <x:c r="H123" s="26" t="str">
        <x:f>IF(G123="Not Needed","Not Needed",IF(G123="Complete","Complete",IF(G123="Blocked","Blocked",IF(G123="At Risk","At Risk",IF(OR(E123="",F123=""),"Schedule TBD",IF(F123&lt;'Overview'!$B$8,"Late",IF(E123&lt;='Overview'!$B$8+2,"Due Soon","On Track")))))))</x:f>
        <x:v>On Track</x:v>
      </x:c>
      <x:c r="I123" s="30" t="str"/>
      <x:c r="J123" s="30" t="str"/>
      <x:c r="K123" s="27" t="str"/>
      <x:c r="L123" s="27" t="str">
        <x:v>​8.16</x:v>
      </x:c>
      <x:c r="M123" s="28" t="n">
        <x:f>IF(OR(E123="",F123=""),"",F123-E123+1)</x:f>
        <x:v>1</x:v>
      </x:c>
      <x:c r="N123" s="29" t="str"/>
      <x:c r="O123" s="27" t="str"/>
      <x:c r="P123" s="20" t="str">
        <x:f>IF(AND(G123&lt;&gt;"Not Needed",G123&lt;&gt;"Complete",OR(G123="Blocked",G123="At Risk",G123="In Progress",H123="Late",H123="Due Soon")),COUNT($P$6:P122)+1,"")</x:f>
      </x:c>
    </x:row>
    <x:row r="124" ht="24" customHeight="1">
      <x:c r="A124" s="21" t="str">
        <x:v>​9.8</x:v>
      </x:c>
      <x:c r="B124" s="24" t="str">
        <x:v>QA / System Testing</x:v>
      </x:c>
      <x:c r="C124" s="24" t="str">
        <x:v>Test mobile entry point</x:v>
      </x:c>
      <x:c r="D124" s="24" t="str">
        <x:v>QA</x:v>
      </x:c>
      <x:c r="E124" s="25" t="n">
        <x:v>8</x:v>
      </x:c>
      <x:c r="F124" s="25" t="n">
        <x:v>8</x:v>
      </x:c>
      <x:c r="G124" s="26" t="str">
        <x:v>Not Started</x:v>
      </x:c>
      <x:c r="H124" s="26" t="str">
        <x:f>IF(G124="Not Needed","Not Needed",IF(G124="Complete","Complete",IF(G124="Blocked","Blocked",IF(G124="At Risk","At Risk",IF(OR(E124="",F124=""),"Schedule TBD",IF(F124&lt;'Overview'!$B$8,"Late",IF(E124&lt;='Overview'!$B$8+2,"Due Soon","On Track")))))))</x:f>
        <x:v>On Track</x:v>
      </x:c>
      <x:c r="I124" s="30" t="str"/>
      <x:c r="J124" s="30" t="str"/>
      <x:c r="K124" s="27" t="str"/>
      <x:c r="L124" s="27" t="str">
        <x:v>​8.16</x:v>
      </x:c>
      <x:c r="M124" s="28" t="n">
        <x:f>IF(OR(E124="",F124=""),"",F124-E124+1)</x:f>
        <x:v>1</x:v>
      </x:c>
      <x:c r="N124" s="29" t="str"/>
      <x:c r="O124" s="27" t="str"/>
      <x:c r="P124" s="20" t="str">
        <x:f>IF(AND(G124&lt;&gt;"Not Needed",G124&lt;&gt;"Complete",OR(G124="Blocked",G124="At Risk",G124="In Progress",H124="Late",H124="Due Soon")),COUNT($P$6:P123)+1,"")</x:f>
      </x:c>
    </x:row>
    <x:row r="125" ht="24" customHeight="1">
      <x:c r="A125" s="21" t="str">
        <x:v>​9.9</x:v>
      </x:c>
      <x:c r="B125" s="24" t="str">
        <x:v>QA / System Testing</x:v>
      </x:c>
      <x:c r="C125" s="24" t="str">
        <x:v>Test entitlements</x:v>
      </x:c>
      <x:c r="D125" s="24" t="str">
        <x:v>QA</x:v>
      </x:c>
      <x:c r="E125" s="25" t="n">
        <x:v>8</x:v>
      </x:c>
      <x:c r="F125" s="25" t="n">
        <x:v>8</x:v>
      </x:c>
      <x:c r="G125" s="26" t="str">
        <x:v>Not Started</x:v>
      </x:c>
      <x:c r="H125" s="26" t="str">
        <x:f>IF(G125="Not Needed","Not Needed",IF(G125="Complete","Complete",IF(G125="Blocked","Blocked",IF(G125="At Risk","At Risk",IF(OR(E125="",F125=""),"Schedule TBD",IF(F125&lt;'Overview'!$B$8,"Late",IF(E125&lt;='Overview'!$B$8+2,"Due Soon","On Track")))))))</x:f>
        <x:v>On Track</x:v>
      </x:c>
      <x:c r="I125" s="30" t="str"/>
      <x:c r="J125" s="30" t="str"/>
      <x:c r="K125" s="27" t="str"/>
      <x:c r="L125" s="27" t="str">
        <x:v>​8.16</x:v>
      </x:c>
      <x:c r="M125" s="28" t="n">
        <x:f>IF(OR(E125="",F125=""),"",F125-E125+1)</x:f>
        <x:v>1</x:v>
      </x:c>
      <x:c r="N125" s="29" t="str"/>
      <x:c r="O125" s="27" t="str"/>
      <x:c r="P125" s="20" t="str">
        <x:f>IF(AND(G125&lt;&gt;"Not Needed",G125&lt;&gt;"Complete",OR(G125="Blocked",G125="At Risk",G125="In Progress",H125="Late",H125="Due Soon")),COUNT($P$6:P124)+1,"")</x:f>
      </x:c>
    </x:row>
    <x:row r="126" ht="24" customHeight="1">
      <x:c r="A126" s="21" t="str">
        <x:v>​9.10</x:v>
      </x:c>
      <x:c r="B126" s="24" t="str">
        <x:v>QA / System Testing</x:v>
      </x:c>
      <x:c r="C126" s="24" t="str">
        <x:v>Test error scenarios</x:v>
      </x:c>
      <x:c r="D126" s="24" t="str">
        <x:v>QA</x:v>
      </x:c>
      <x:c r="E126" s="25" t="n">
        <x:v>8</x:v>
      </x:c>
      <x:c r="F126" s="25" t="n">
        <x:v>8</x:v>
      </x:c>
      <x:c r="G126" s="26" t="str">
        <x:v>Not Started</x:v>
      </x:c>
      <x:c r="H126" s="26" t="str">
        <x:f>IF(G126="Not Needed","Not Needed",IF(G126="Complete","Complete",IF(G126="Blocked","Blocked",IF(G126="At Risk","At Risk",IF(OR(E126="",F126=""),"Schedule TBD",IF(F126&lt;'Overview'!$B$8,"Late",IF(E126&lt;='Overview'!$B$8+2,"Due Soon","On Track")))))))</x:f>
        <x:v>On Track</x:v>
      </x:c>
      <x:c r="I126" s="30" t="str"/>
      <x:c r="J126" s="30" t="str"/>
      <x:c r="K126" s="27" t="str"/>
      <x:c r="L126" s="27" t="str">
        <x:v>​8.16</x:v>
      </x:c>
      <x:c r="M126" s="28" t="n">
        <x:f>IF(OR(E126="",F126=""),"",F126-E126+1)</x:f>
        <x:v>1</x:v>
      </x:c>
      <x:c r="N126" s="29" t="str"/>
      <x:c r="O126" s="27" t="str"/>
      <x:c r="P126" s="20" t="str">
        <x:f>IF(AND(G126&lt;&gt;"Not Needed",G126&lt;&gt;"Complete",OR(G126="Blocked",G126="At Risk",G126="In Progress",H126="Late",H126="Due Soon")),COUNT($P$6:P125)+1,"")</x:f>
      </x:c>
    </x:row>
    <x:row r="127" ht="24" customHeight="1">
      <x:c r="A127" s="21" t="str">
        <x:v>​9.11</x:v>
      </x:c>
      <x:c r="B127" s="24" t="str">
        <x:v>QA / System Testing</x:v>
      </x:c>
      <x:c r="C127" s="24" t="str">
        <x:v>Test session timeout behavior</x:v>
      </x:c>
      <x:c r="D127" s="24" t="str">
        <x:v>QA</x:v>
      </x:c>
      <x:c r="E127" s="25" t="n">
        <x:v>8</x:v>
      </x:c>
      <x:c r="F127" s="25" t="n">
        <x:v>8</x:v>
      </x:c>
      <x:c r="G127" s="26" t="str">
        <x:v>Not Started</x:v>
      </x:c>
      <x:c r="H127" s="26" t="str">
        <x:f>IF(G127="Not Needed","Not Needed",IF(G127="Complete","Complete",IF(G127="Blocked","Blocked",IF(G127="At Risk","At Risk",IF(OR(E127="",F127=""),"Schedule TBD",IF(F127&lt;'Overview'!$B$8,"Late",IF(E127&lt;='Overview'!$B$8+2,"Due Soon","On Track")))))))</x:f>
        <x:v>On Track</x:v>
      </x:c>
      <x:c r="I127" s="30" t="str"/>
      <x:c r="J127" s="30" t="str"/>
      <x:c r="K127" s="27" t="str"/>
      <x:c r="L127" s="27" t="str">
        <x:v>​8.16</x:v>
      </x:c>
      <x:c r="M127" s="28" t="n">
        <x:f>IF(OR(E127="",F127=""),"",F127-E127+1)</x:f>
        <x:v>1</x:v>
      </x:c>
      <x:c r="N127" s="29" t="str"/>
      <x:c r="O127" s="27" t="str"/>
      <x:c r="P127" s="20" t="str">
        <x:f>IF(AND(G127&lt;&gt;"Not Needed",G127&lt;&gt;"Complete",OR(G127="Blocked",G127="At Risk",G127="In Progress",H127="Late",H127="Due Soon")),COUNT($P$6:P126)+1,"")</x:f>
      </x:c>
    </x:row>
    <x:row r="128" ht="24" customHeight="1">
      <x:c r="A128" s="21" t="str">
        <x:v>​9.12</x:v>
      </x:c>
      <x:c r="B128" s="24" t="str">
        <x:v>QA / System Testing</x:v>
      </x:c>
      <x:c r="C128" s="24" t="str">
        <x:v>Browser testing</x:v>
      </x:c>
      <x:c r="D128" s="24" t="str">
        <x:v>QA</x:v>
      </x:c>
      <x:c r="E128" s="25" t="n">
        <x:v>9</x:v>
      </x:c>
      <x:c r="F128" s="25" t="n">
        <x:v>9</x:v>
      </x:c>
      <x:c r="G128" s="26" t="str">
        <x:v>Not Started</x:v>
      </x:c>
      <x:c r="H128" s="26" t="str">
        <x:f>IF(G128="Not Needed","Not Needed",IF(G128="Complete","Complete",IF(G128="Blocked","Blocked",IF(G128="At Risk","At Risk",IF(OR(E128="",F128=""),"Schedule TBD",IF(F128&lt;'Overview'!$B$8,"Late",IF(E128&lt;='Overview'!$B$8+2,"Due Soon","On Track")))))))</x:f>
        <x:v>On Track</x:v>
      </x:c>
      <x:c r="I128" s="30" t="str"/>
      <x:c r="J128" s="30" t="str"/>
      <x:c r="K128" s="27" t="str"/>
      <x:c r="L128" s="27" t="str">
        <x:v>​8.16</x:v>
      </x:c>
      <x:c r="M128" s="28" t="n">
        <x:f>IF(OR(E128="",F128=""),"",F128-E128+1)</x:f>
        <x:v>1</x:v>
      </x:c>
      <x:c r="N128" s="29" t="str"/>
      <x:c r="O128" s="27" t="str"/>
      <x:c r="P128" s="20" t="str">
        <x:f>IF(AND(G128&lt;&gt;"Not Needed",G128&lt;&gt;"Complete",OR(G128="Blocked",G128="At Risk",G128="In Progress",H128="Late",H128="Due Soon")),COUNT($P$6:P127)+1,"")</x:f>
      </x:c>
    </x:row>
    <x:row r="129" ht="24" customHeight="1">
      <x:c r="A129" s="21" t="str">
        <x:v>​9.13</x:v>
      </x:c>
      <x:c r="B129" s="24" t="str">
        <x:v>QA / System Testing</x:v>
      </x:c>
      <x:c r="C129" s="24" t="str">
        <x:v>Mobile/device testing</x:v>
      </x:c>
      <x:c r="D129" s="24" t="str">
        <x:v>QA</x:v>
      </x:c>
      <x:c r="E129" s="25" t="n">
        <x:v>9</x:v>
      </x:c>
      <x:c r="F129" s="25" t="n">
        <x:v>9</x:v>
      </x:c>
      <x:c r="G129" s="26" t="str">
        <x:v>Not Started</x:v>
      </x:c>
      <x:c r="H129" s="26" t="str">
        <x:f>IF(G129="Not Needed","Not Needed",IF(G129="Complete","Complete",IF(G129="Blocked","Blocked",IF(G129="At Risk","At Risk",IF(OR(E129="",F129=""),"Schedule TBD",IF(F129&lt;'Overview'!$B$8,"Late",IF(E129&lt;='Overview'!$B$8+2,"Due Soon","On Track")))))))</x:f>
        <x:v>On Track</x:v>
      </x:c>
      <x:c r="I129" s="30" t="str"/>
      <x:c r="J129" s="30" t="str"/>
      <x:c r="K129" s="27" t="str"/>
      <x:c r="L129" s="27" t="str">
        <x:v>​8.16</x:v>
      </x:c>
      <x:c r="M129" s="28" t="n">
        <x:f>IF(OR(E129="",F129=""),"",F129-E129+1)</x:f>
        <x:v>1</x:v>
      </x:c>
      <x:c r="N129" s="29" t="str"/>
      <x:c r="O129" s="27" t="str"/>
      <x:c r="P129" s="20" t="str">
        <x:f>IF(AND(G129&lt;&gt;"Not Needed",G129&lt;&gt;"Complete",OR(G129="Blocked",G129="At Risk",G129="In Progress",H129="Late",H129="Due Soon")),COUNT($P$6:P128)+1,"")</x:f>
      </x:c>
    </x:row>
    <x:row r="130" ht="24" customHeight="1">
      <x:c r="A130" s="21" t="str">
        <x:v>​9.14</x:v>
      </x:c>
      <x:c r="B130" s="24" t="str">
        <x:v>QA / System Testing</x:v>
      </x:c>
      <x:c r="C130" s="24" t="str">
        <x:v>Accessibility testing</x:v>
      </x:c>
      <x:c r="D130" s="24" t="str">
        <x:v>QA</x:v>
      </x:c>
      <x:c r="E130" s="25" t="n">
        <x:v>9</x:v>
      </x:c>
      <x:c r="F130" s="25" t="n">
        <x:v>9</x:v>
      </x:c>
      <x:c r="G130" s="26" t="str">
        <x:v>Not Started</x:v>
      </x:c>
      <x:c r="H130" s="26" t="str">
        <x:f>IF(G130="Not Needed","Not Needed",IF(G130="Complete","Complete",IF(G130="Blocked","Blocked",IF(G130="At Risk","At Risk",IF(OR(E130="",F130=""),"Schedule TBD",IF(F130&lt;'Overview'!$B$8,"Late",IF(E130&lt;='Overview'!$B$8+2,"Due Soon","On Track")))))))</x:f>
        <x:v>On Track</x:v>
      </x:c>
      <x:c r="I130" s="30" t="str"/>
      <x:c r="J130" s="30" t="str"/>
      <x:c r="K130" s="27" t="str">
        <x:v>UX</x:v>
      </x:c>
      <x:c r="L130" s="27" t="str">
        <x:v>​8.16</x:v>
      </x:c>
      <x:c r="M130" s="28" t="n">
        <x:f>IF(OR(E130="",F130=""),"",F130-E130+1)</x:f>
        <x:v>1</x:v>
      </x:c>
      <x:c r="N130" s="29" t="str"/>
      <x:c r="O130" s="27" t="str"/>
      <x:c r="P130" s="20" t="str">
        <x:f>IF(AND(G130&lt;&gt;"Not Needed",G130&lt;&gt;"Complete",OR(G130="Blocked",G130="At Risk",G130="In Progress",H130="Late",H130="Due Soon")),COUNT($P$6:P129)+1,"")</x:f>
      </x:c>
    </x:row>
    <x:row r="131" ht="24" customHeight="1">
      <x:c r="A131" s="21" t="str">
        <x:v>​9.15</x:v>
      </x:c>
      <x:c r="B131" s="24" t="str">
        <x:v>QA / System Testing</x:v>
      </x:c>
      <x:c r="C131" s="24" t="str">
        <x:v>Analytics validation</x:v>
      </x:c>
      <x:c r="D131" s="24" t="str">
        <x:v>QA</x:v>
      </x:c>
      <x:c r="E131" s="25" t="n">
        <x:v>9</x:v>
      </x:c>
      <x:c r="F131" s="25" t="n">
        <x:v>9</x:v>
      </x:c>
      <x:c r="G131" s="26" t="str">
        <x:v>Not Started</x:v>
      </x:c>
      <x:c r="H131" s="26" t="str">
        <x:f>IF(G131="Not Needed","Not Needed",IF(G131="Complete","Complete",IF(G131="Blocked","Blocked",IF(G131="At Risk","At Risk",IF(OR(E131="",F131=""),"Schedule TBD",IF(F131&lt;'Overview'!$B$8,"Late",IF(E131&lt;='Overview'!$B$8+2,"Due Soon","On Track")))))))</x:f>
        <x:v>On Track</x:v>
      </x:c>
      <x:c r="I131" s="30" t="str"/>
      <x:c r="J131" s="30" t="str"/>
      <x:c r="K131" s="27" t="str">
        <x:v>Data</x:v>
      </x:c>
      <x:c r="L131" s="27" t="str">
        <x:v>​8.12</x:v>
      </x:c>
      <x:c r="M131" s="28" t="n">
        <x:f>IF(OR(E131="",F131=""),"",F131-E131+1)</x:f>
        <x:v>1</x:v>
      </x:c>
      <x:c r="N131" s="29" t="str"/>
      <x:c r="O131" s="27" t="str"/>
      <x:c r="P131" s="20" t="str">
        <x:f>IF(AND(G131&lt;&gt;"Not Needed",G131&lt;&gt;"Complete",OR(G131="Blocked",G131="At Risk",G131="In Progress",H131="Late",H131="Due Soon")),COUNT($P$6:P130)+1,"")</x:f>
      </x:c>
    </x:row>
    <x:row r="132" ht="24" customHeight="1">
      <x:c r="A132" s="21" t="str">
        <x:v>​9.16</x:v>
      </x:c>
      <x:c r="B132" s="24" t="str">
        <x:v>QA / System Testing</x:v>
      </x:c>
      <x:c r="C132" s="24" t="str">
        <x:v>Log defects</x:v>
      </x:c>
      <x:c r="D132" s="24" t="str">
        <x:v>QA</x:v>
      </x:c>
      <x:c r="E132" s="25" t="n">
        <x:v>8</x:v>
      </x:c>
      <x:c r="F132" s="25" t="n">
        <x:v>9</x:v>
      </x:c>
      <x:c r="G132" s="26" t="str">
        <x:v>Not Started</x:v>
      </x:c>
      <x:c r="H132" s="26" t="str">
        <x:f>IF(G132="Not Needed","Not Needed",IF(G132="Complete","Complete",IF(G132="Blocked","Blocked",IF(G132="At Risk","At Risk",IF(OR(E132="",F132=""),"Schedule TBD",IF(F132&lt;'Overview'!$B$8,"Late",IF(E132&lt;='Overview'!$B$8+2,"Due Soon","On Track")))))))</x:f>
        <x:v>On Track</x:v>
      </x:c>
      <x:c r="I132" s="30" t="str"/>
      <x:c r="J132" s="30" t="str"/>
      <x:c r="K132" s="27" t="str"/>
      <x:c r="L132" s="27" t="str">
        <x:v>​9.3–9.15</x:v>
      </x:c>
      <x:c r="M132" s="28" t="n">
        <x:f>IF(OR(E132="",F132=""),"",F132-E132+1)</x:f>
        <x:v>2</x:v>
      </x:c>
      <x:c r="N132" s="29" t="str"/>
      <x:c r="O132" s="27" t="str"/>
      <x:c r="P132" s="20" t="str">
        <x:f>IF(AND(G132&lt;&gt;"Not Needed",G132&lt;&gt;"Complete",OR(G132="Blocked",G132="At Risk",G132="In Progress",H132="Late",H132="Due Soon")),COUNT($P$6:P131)+1,"")</x:f>
      </x:c>
    </x:row>
    <x:row r="133" ht="24" customHeight="1">
      <x:c r="A133" s="21" t="str">
        <x:v>​9.17</x:v>
      </x:c>
      <x:c r="B133" s="24" t="str">
        <x:v>QA / System Testing</x:v>
      </x:c>
      <x:c r="C133" s="24" t="str">
        <x:v>Defect remediation</x:v>
      </x:c>
      <x:c r="D133" s="24" t="str">
        <x:v>Tech</x:v>
      </x:c>
      <x:c r="E133" s="25" t="n">
        <x:v>9</x:v>
      </x:c>
      <x:c r="F133" s="25" t="n">
        <x:v>9</x:v>
      </x:c>
      <x:c r="G133" s="26" t="str">
        <x:v>Not Started</x:v>
      </x:c>
      <x:c r="H133" s="26" t="str">
        <x:f>IF(G133="Not Needed","Not Needed",IF(G133="Complete","Complete",IF(G133="Blocked","Blocked",IF(G133="At Risk","At Risk",IF(OR(E133="",F133=""),"Schedule TBD",IF(F133&lt;'Overview'!$B$8,"Late",IF(E133&lt;='Overview'!$B$8+2,"Due Soon","On Track")))))))</x:f>
        <x:v>On Track</x:v>
      </x:c>
      <x:c r="I133" s="30" t="str"/>
      <x:c r="J133" s="30" t="str"/>
      <x:c r="K133" s="27" t="str">
        <x:v>Vendor</x:v>
      </x:c>
      <x:c r="L133" s="27" t="str">
        <x:v>​9.16</x:v>
      </x:c>
      <x:c r="M133" s="28" t="n">
        <x:f>IF(OR(E133="",F133=""),"",F133-E133+1)</x:f>
        <x:v>1</x:v>
      </x:c>
      <x:c r="N133" s="29" t="str"/>
      <x:c r="O133" s="27" t="str"/>
      <x:c r="P133" s="20" t="str">
        <x:f>IF(AND(G133&lt;&gt;"Not Needed",G133&lt;&gt;"Complete",OR(G133="Blocked",G133="At Risk",G133="In Progress",H133="Late",H133="Due Soon")),COUNT($P$6:P132)+1,"")</x:f>
      </x:c>
    </x:row>
    <x:row r="134" ht="24" customHeight="1">
      <x:c r="A134" s="21" t="str">
        <x:v>​9.18</x:v>
      </x:c>
      <x:c r="B134" s="24" t="str">
        <x:v>QA / System Testing</x:v>
      </x:c>
      <x:c r="C134" s="24" t="str">
        <x:v>Regression testing</x:v>
      </x:c>
      <x:c r="D134" s="24" t="str">
        <x:v>QA</x:v>
      </x:c>
      <x:c r="E134" s="25" t="n">
        <x:v>10</x:v>
      </x:c>
      <x:c r="F134" s="25" t="n">
        <x:v>10</x:v>
      </x:c>
      <x:c r="G134" s="26" t="str">
        <x:v>Not Started</x:v>
      </x:c>
      <x:c r="H134" s="26" t="str">
        <x:f>IF(G134="Not Needed","Not Needed",IF(G134="Complete","Complete",IF(G134="Blocked","Blocked",IF(G134="At Risk","At Risk",IF(OR(E134="",F134=""),"Schedule TBD",IF(F134&lt;'Overview'!$B$8,"Late",IF(E134&lt;='Overview'!$B$8+2,"Due Soon","On Track")))))))</x:f>
        <x:v>On Track</x:v>
      </x:c>
      <x:c r="I134" s="30" t="str"/>
      <x:c r="J134" s="30" t="str"/>
      <x:c r="K134" s="27" t="str"/>
      <x:c r="L134" s="27" t="str">
        <x:v>​9.17</x:v>
      </x:c>
      <x:c r="M134" s="28" t="n">
        <x:f>IF(OR(E134="",F134=""),"",F134-E134+1)</x:f>
        <x:v>1</x:v>
      </x:c>
      <x:c r="N134" s="29" t="str"/>
      <x:c r="O134" s="27" t="str"/>
      <x:c r="P134" s="20" t="str">
        <x:f>IF(AND(G134&lt;&gt;"Not Needed",G134&lt;&gt;"Complete",OR(G134="Blocked",G134="At Risk",G134="In Progress",H134="Late",H134="Due Soon")),COUNT($P$6:P133)+1,"")</x:f>
      </x:c>
    </x:row>
    <x:row r="135" ht="24" customHeight="1">
      <x:c r="A135" s="21" t="str">
        <x:v>​9.19</x:v>
      </x:c>
      <x:c r="B135" s="24" t="str">
        <x:v>QA / System Testing</x:v>
      </x:c>
      <x:c r="C135" s="24" t="str">
        <x:v>QA signoff</x:v>
      </x:c>
      <x:c r="D135" s="24" t="str">
        <x:v>QA</x:v>
      </x:c>
      <x:c r="E135" s="25" t="n">
        <x:v>10</x:v>
      </x:c>
      <x:c r="F135" s="25" t="n">
        <x:v>10</x:v>
      </x:c>
      <x:c r="G135" s="26" t="str">
        <x:v>Not Started</x:v>
      </x:c>
      <x:c r="H135" s="26" t="str">
        <x:f>IF(G135="Not Needed","Not Needed",IF(G135="Complete","Complete",IF(G135="Blocked","Blocked",IF(G135="At Risk","At Risk",IF(OR(E135="",F135=""),"Schedule TBD",IF(F135&lt;'Overview'!$B$8,"Late",IF(E135&lt;='Overview'!$B$8+2,"Due Soon","On Track")))))))</x:f>
        <x:v>On Track</x:v>
      </x:c>
      <x:c r="I135" s="30" t="str"/>
      <x:c r="J135" s="30" t="str"/>
      <x:c r="K135" s="27" t="str"/>
      <x:c r="L135" s="27" t="str">
        <x:v>​9.18</x:v>
      </x:c>
      <x:c r="M135" s="28" t="n">
        <x:f>IF(OR(E135="",F135=""),"",F135-E135+1)</x:f>
        <x:v>1</x:v>
      </x:c>
      <x:c r="N135" s="29" t="str">
        <x:v>Milestone</x:v>
      </x:c>
      <x:c r="O135" s="27" t="str"/>
      <x:c r="P135" s="20" t="str">
        <x:f>IF(AND(G135&lt;&gt;"Not Needed",G135&lt;&gt;"Complete",OR(G135="Blocked",G135="At Risk",G135="In Progress",H135="Late",H135="Due Soon")),COUNT($P$6:P134)+1,"")</x:f>
      </x:c>
    </x:row>
    <x:row r="136" ht="24" customHeight="1">
      <x:c r="A136" s="21" t="str">
        <x:v>​10.1</x:v>
      </x:c>
      <x:c r="B136" s="24" t="str">
        <x:v>User Acceptance Testing</x:v>
      </x:c>
      <x:c r="C136" s="24" t="str">
        <x:v>Define UAT participants</x:v>
      </x:c>
      <x:c r="D136" s="24" t="str">
        <x:v>Product</x:v>
      </x:c>
      <x:c r="E136" s="25" t="n">
        <x:v>9</x:v>
      </x:c>
      <x:c r="F136" s="25" t="n">
        <x:v>9</x:v>
      </x:c>
      <x:c r="G136" s="26" t="str">
        <x:v>Not Started</x:v>
      </x:c>
      <x:c r="H136" s="26" t="str">
        <x:f>IF(G136="Not Needed","Not Needed",IF(G136="Complete","Complete",IF(G136="Blocked","Blocked",IF(G136="At Risk","At Risk",IF(OR(E136="",F136=""),"Schedule TBD",IF(F136&lt;'Overview'!$B$8,"Late",IF(E136&lt;='Overview'!$B$8+2,"Due Soon","On Track")))))))</x:f>
        <x:v>On Track</x:v>
      </x:c>
      <x:c r="I136" s="30" t="str"/>
      <x:c r="J136" s="30" t="str"/>
      <x:c r="K136" s="27" t="str">
        <x:v>PM</x:v>
      </x:c>
      <x:c r="L136" s="27" t="str">
        <x:v>—</x:v>
      </x:c>
      <x:c r="M136" s="28" t="n">
        <x:f>IF(OR(E136="",F136=""),"",F136-E136+1)</x:f>
        <x:v>1</x:v>
      </x:c>
      <x:c r="N136" s="29" t="str"/>
      <x:c r="O136" s="27" t="str"/>
      <x:c r="P136" s="20" t="str">
        <x:f>IF(AND(G136&lt;&gt;"Not Needed",G136&lt;&gt;"Complete",OR(G136="Blocked",G136="At Risk",G136="In Progress",H136="Late",H136="Due Soon")),COUNT($P$6:P135)+1,"")</x:f>
      </x:c>
    </x:row>
    <x:row r="137" ht="24" customHeight="1">
      <x:c r="A137" s="21" t="str">
        <x:v>​10.2</x:v>
      </x:c>
      <x:c r="B137" s="24" t="str">
        <x:v>User Acceptance Testing</x:v>
      </x:c>
      <x:c r="C137" s="24" t="str">
        <x:v>Develop UAT scenarios</x:v>
      </x:c>
      <x:c r="D137" s="24" t="str">
        <x:v>Product</x:v>
      </x:c>
      <x:c r="E137" s="25" t="n">
        <x:v>9</x:v>
      </x:c>
      <x:c r="F137" s="25" t="n">
        <x:v>9</x:v>
      </x:c>
      <x:c r="G137" s="26" t="str">
        <x:v>Not Started</x:v>
      </x:c>
      <x:c r="H137" s="26" t="str">
        <x:f>IF(G137="Not Needed","Not Needed",IF(G137="Complete","Complete",IF(G137="Blocked","Blocked",IF(G137="At Risk","At Risk",IF(OR(E137="",F137=""),"Schedule TBD",IF(F137&lt;'Overview'!$B$8,"Late",IF(E137&lt;='Overview'!$B$8+2,"Due Soon","On Track")))))))</x:f>
        <x:v>On Track</x:v>
      </x:c>
      <x:c r="I137" s="30" t="str"/>
      <x:c r="J137" s="30" t="str"/>
      <x:c r="K137" s="27" t="str">
        <x:v>QA</x:v>
      </x:c>
      <x:c r="L137" s="27" t="str">
        <x:v>​9.1</x:v>
      </x:c>
      <x:c r="M137" s="28" t="n">
        <x:f>IF(OR(E137="",F137=""),"",F137-E137+1)</x:f>
        <x:v>1</x:v>
      </x:c>
      <x:c r="N137" s="29" t="str"/>
      <x:c r="O137" s="27" t="str"/>
      <x:c r="P137" s="20" t="str">
        <x:f>IF(AND(G137&lt;&gt;"Not Needed",G137&lt;&gt;"Complete",OR(G137="Blocked",G137="At Risk",G137="In Progress",H137="Late",H137="Due Soon")),COUNT($P$6:P136)+1,"")</x:f>
      </x:c>
    </x:row>
    <x:row r="138" ht="24" customHeight="1">
      <x:c r="A138" s="21" t="str">
        <x:v>​10.3</x:v>
      </x:c>
      <x:c r="B138" s="24" t="str">
        <x:v>User Acceptance Testing</x:v>
      </x:c>
      <x:c r="C138" s="24" t="str">
        <x:v>Develop UAT script</x:v>
      </x:c>
      <x:c r="D138" s="24" t="str">
        <x:v>Product</x:v>
      </x:c>
      <x:c r="E138" s="25" t="n">
        <x:v>9</x:v>
      </x:c>
      <x:c r="F138" s="25" t="n">
        <x:v>9</x:v>
      </x:c>
      <x:c r="G138" s="26" t="str">
        <x:v>Not Started</x:v>
      </x:c>
      <x:c r="H138" s="26" t="str">
        <x:f>IF(G138="Not Needed","Not Needed",IF(G138="Complete","Complete",IF(G138="Blocked","Blocked",IF(G138="At Risk","At Risk",IF(OR(E138="",F138=""),"Schedule TBD",IF(F138&lt;'Overview'!$B$8,"Late",IF(E138&lt;='Overview'!$B$8+2,"Due Soon","On Track")))))))</x:f>
        <x:v>On Track</x:v>
      </x:c>
      <x:c r="I138" s="30" t="str"/>
      <x:c r="J138" s="30" t="str"/>
      <x:c r="K138" s="27" t="str">
        <x:v>QA</x:v>
      </x:c>
      <x:c r="L138" s="27" t="str">
        <x:v>​10.2</x:v>
      </x:c>
      <x:c r="M138" s="28" t="n">
        <x:f>IF(OR(E138="",F138=""),"",F138-E138+1)</x:f>
        <x:v>1</x:v>
      </x:c>
      <x:c r="N138" s="29" t="str"/>
      <x:c r="O138" s="27" t="str"/>
      <x:c r="P138" s="20" t="str">
        <x:f>IF(AND(G138&lt;&gt;"Not Needed",G138&lt;&gt;"Complete",OR(G138="Blocked",G138="At Risk",G138="In Progress",H138="Late",H138="Due Soon")),COUNT($P$6:P137)+1,"")</x:f>
      </x:c>
    </x:row>
    <x:row r="139" ht="24" customHeight="1">
      <x:c r="A139" s="21" t="str">
        <x:v>​10.4</x:v>
      </x:c>
      <x:c r="B139" s="24" t="str">
        <x:v>User Acceptance Testing</x:v>
      </x:c>
      <x:c r="C139" s="24" t="str">
        <x:v>Prepare tester instructions</x:v>
      </x:c>
      <x:c r="D139" s="24" t="str">
        <x:v>PM</x:v>
      </x:c>
      <x:c r="E139" s="25" t="n">
        <x:v>9</x:v>
      </x:c>
      <x:c r="F139" s="25" t="n">
        <x:v>9</x:v>
      </x:c>
      <x:c r="G139" s="26" t="str">
        <x:v>Not Started</x:v>
      </x:c>
      <x:c r="H139" s="26" t="str">
        <x:f>IF(G139="Not Needed","Not Needed",IF(G139="Complete","Complete",IF(G139="Blocked","Blocked",IF(G139="At Risk","At Risk",IF(OR(E139="",F139=""),"Schedule TBD",IF(F139&lt;'Overview'!$B$8,"Late",IF(E139&lt;='Overview'!$B$8+2,"Due Soon","On Track")))))))</x:f>
        <x:v>On Track</x:v>
      </x:c>
      <x:c r="I139" s="30" t="str"/>
      <x:c r="J139" s="30" t="str"/>
      <x:c r="K139" s="27" t="str"/>
      <x:c r="L139" s="27" t="str">
        <x:v>​10.3</x:v>
      </x:c>
      <x:c r="M139" s="28" t="n">
        <x:f>IF(OR(E139="",F139=""),"",F139-E139+1)</x:f>
        <x:v>1</x:v>
      </x:c>
      <x:c r="N139" s="29" t="str"/>
      <x:c r="O139" s="27" t="str"/>
      <x:c r="P139" s="20" t="str">
        <x:f>IF(AND(G139&lt;&gt;"Not Needed",G139&lt;&gt;"Complete",OR(G139="Blocked",G139="At Risk",G139="In Progress",H139="Late",H139="Due Soon")),COUNT($P$6:P138)+1,"")</x:f>
      </x:c>
    </x:row>
    <x:row r="140" ht="24" customHeight="1">
      <x:c r="A140" s="21" t="str">
        <x:v>​10.5</x:v>
      </x:c>
      <x:c r="B140" s="24" t="str">
        <x:v>User Acceptance Testing</x:v>
      </x:c>
      <x:c r="C140" s="24" t="str">
        <x:v>Prepare UAT environment</x:v>
      </x:c>
      <x:c r="D140" s="24" t="str">
        <x:v>Tech</x:v>
      </x:c>
      <x:c r="E140" s="25" t="n">
        <x:v>10</x:v>
      </x:c>
      <x:c r="F140" s="25" t="n">
        <x:v>10</x:v>
      </x:c>
      <x:c r="G140" s="26" t="str">
        <x:v>Not Started</x:v>
      </x:c>
      <x:c r="H140" s="26" t="str">
        <x:f>IF(G140="Not Needed","Not Needed",IF(G140="Complete","Complete",IF(G140="Blocked","Blocked",IF(G140="At Risk","At Risk",IF(OR(E140="",F140=""),"Schedule TBD",IF(F140&lt;'Overview'!$B$8,"Late",IF(E140&lt;='Overview'!$B$8+2,"Due Soon","On Track")))))))</x:f>
        <x:v>On Track</x:v>
      </x:c>
      <x:c r="I140" s="30" t="str"/>
      <x:c r="J140" s="30" t="str"/>
      <x:c r="K140" s="27" t="str"/>
      <x:c r="L140" s="27" t="str">
        <x:v>​9.19</x:v>
      </x:c>
      <x:c r="M140" s="28" t="n">
        <x:f>IF(OR(E140="",F140=""),"",F140-E140+1)</x:f>
        <x:v>1</x:v>
      </x:c>
      <x:c r="N140" s="29" t="str"/>
      <x:c r="O140" s="27" t="str"/>
      <x:c r="P140" s="20" t="str">
        <x:f>IF(AND(G140&lt;&gt;"Not Needed",G140&lt;&gt;"Complete",OR(G140="Blocked",G140="At Risk",G140="In Progress",H140="Late",H140="Due Soon")),COUNT($P$6:P139)+1,"")</x:f>
      </x:c>
    </x:row>
    <x:row r="141" ht="24" customHeight="1">
      <x:c r="A141" s="21" t="str">
        <x:v>​10.6</x:v>
      </x:c>
      <x:c r="B141" s="24" t="str">
        <x:v>User Acceptance Testing</x:v>
      </x:c>
      <x:c r="C141" s="24" t="str">
        <x:v>Conduct UAT kickoff/workshop</x:v>
      </x:c>
      <x:c r="D141" s="24" t="str">
        <x:v>PM</x:v>
      </x:c>
      <x:c r="E141" s="25" t="n">
        <x:v>10</x:v>
      </x:c>
      <x:c r="F141" s="25" t="n">
        <x:v>10</x:v>
      </x:c>
      <x:c r="G141" s="26" t="str">
        <x:v>Not Started</x:v>
      </x:c>
      <x:c r="H141" s="26" t="str">
        <x:f>IF(G141="Not Needed","Not Needed",IF(G141="Complete","Complete",IF(G141="Blocked","Blocked",IF(G141="At Risk","At Risk",IF(OR(E141="",F141=""),"Schedule TBD",IF(F141&lt;'Overview'!$B$8,"Late",IF(E141&lt;='Overview'!$B$8+2,"Due Soon","On Track")))))))</x:f>
        <x:v>On Track</x:v>
      </x:c>
      <x:c r="I141" s="30" t="str"/>
      <x:c r="J141" s="30" t="str"/>
      <x:c r="K141" s="27" t="str">
        <x:v>Product</x:v>
      </x:c>
      <x:c r="L141" s="27" t="str">
        <x:v>​10.1–10.5</x:v>
      </x:c>
      <x:c r="M141" s="28" t="n">
        <x:f>IF(OR(E141="",F141=""),"",F141-E141+1)</x:f>
        <x:v>1</x:v>
      </x:c>
      <x:c r="N141" s="29" t="str"/>
      <x:c r="O141" s="27" t="str"/>
      <x:c r="P141" s="20" t="str">
        <x:f>IF(AND(G141&lt;&gt;"Not Needed",G141&lt;&gt;"Complete",OR(G141="Blocked",G141="At Risk",G141="In Progress",H141="Late",H141="Due Soon")),COUNT($P$6:P140)+1,"")</x:f>
      </x:c>
    </x:row>
    <x:row r="142" ht="24" customHeight="1">
      <x:c r="A142" s="21" t="str">
        <x:v>​10.7</x:v>
      </x:c>
      <x:c r="B142" s="24" t="str">
        <x:v>User Acceptance Testing</x:v>
      </x:c>
      <x:c r="C142" s="24" t="str">
        <x:v>Business testing</x:v>
      </x:c>
      <x:c r="D142" s="24" t="str">
        <x:v>UAT Team</x:v>
      </x:c>
      <x:c r="E142" s="25" t="n">
        <x:v>10</x:v>
      </x:c>
      <x:c r="F142" s="25" t="n">
        <x:v>10</x:v>
      </x:c>
      <x:c r="G142" s="26" t="str">
        <x:v>Not Started</x:v>
      </x:c>
      <x:c r="H142" s="26" t="str">
        <x:f>IF(G142="Not Needed","Not Needed",IF(G142="Complete","Complete",IF(G142="Blocked","Blocked",IF(G142="At Risk","At Risk",IF(OR(E142="",F142=""),"Schedule TBD",IF(F142&lt;'Overview'!$B$8,"Late",IF(E142&lt;='Overview'!$B$8+2,"Due Soon","On Track")))))))</x:f>
        <x:v>On Track</x:v>
      </x:c>
      <x:c r="I142" s="30" t="str"/>
      <x:c r="J142" s="30" t="str"/>
      <x:c r="K142" s="27" t="str"/>
      <x:c r="L142" s="27" t="str">
        <x:v>​10.6</x:v>
      </x:c>
      <x:c r="M142" s="28" t="n">
        <x:f>IF(OR(E142="",F142=""),"",F142-E142+1)</x:f>
        <x:v>1</x:v>
      </x:c>
      <x:c r="N142" s="29" t="str"/>
      <x:c r="O142" s="27" t="str"/>
      <x:c r="P142" s="20" t="str">
        <x:f>IF(AND(G142&lt;&gt;"Not Needed",G142&lt;&gt;"Complete",OR(G142="Blocked",G142="At Risk",G142="In Progress",H142="Late",H142="Due Soon")),COUNT($P$6:P141)+1,"")</x:f>
      </x:c>
    </x:row>
    <x:row r="143" ht="24" customHeight="1">
      <x:c r="A143" s="21" t="str">
        <x:v>​10.8</x:v>
      </x:c>
      <x:c r="B143" s="24" t="str">
        <x:v>User Acceptance Testing</x:v>
      </x:c>
      <x:c r="C143" s="24" t="str">
        <x:v>Branch/support testing</x:v>
      </x:c>
      <x:c r="D143" s="24" t="str">
        <x:v>Operations</x:v>
      </x:c>
      <x:c r="E143" s="25" t="n">
        <x:v>10</x:v>
      </x:c>
      <x:c r="F143" s="25" t="n">
        <x:v>10</x:v>
      </x:c>
      <x:c r="G143" s="26" t="str">
        <x:v>Not Started</x:v>
      </x:c>
      <x:c r="H143" s="26" t="str">
        <x:f>IF(G143="Not Needed","Not Needed",IF(G143="Complete","Complete",IF(G143="Blocked","Blocked",IF(G143="At Risk","At Risk",IF(OR(E143="",F143=""),"Schedule TBD",IF(F143&lt;'Overview'!$B$8,"Late",IF(E143&lt;='Overview'!$B$8+2,"Due Soon","On Track")))))))</x:f>
        <x:v>On Track</x:v>
      </x:c>
      <x:c r="I143" s="30" t="str"/>
      <x:c r="J143" s="30" t="str"/>
      <x:c r="K143" s="27" t="str"/>
      <x:c r="L143" s="27" t="str">
        <x:v>​10.6</x:v>
      </x:c>
      <x:c r="M143" s="28" t="n">
        <x:f>IF(OR(E143="",F143=""),"",F143-E143+1)</x:f>
        <x:v>1</x:v>
      </x:c>
      <x:c r="N143" s="29" t="str"/>
      <x:c r="O143" s="27" t="str"/>
      <x:c r="P143" s="20" t="str">
        <x:f>IF(AND(G143&lt;&gt;"Not Needed",G143&lt;&gt;"Complete",OR(G143="Blocked",G143="At Risk",G143="In Progress",H143="Late",H143="Due Soon")),COUNT($P$6:P142)+1,"")</x:f>
      </x:c>
    </x:row>
    <x:row r="144" ht="24" customHeight="1">
      <x:c r="A144" s="21" t="str">
        <x:v>​10.9</x:v>
      </x:c>
      <x:c r="B144" s="24" t="str">
        <x:v>User Acceptance Testing</x:v>
      </x:c>
      <x:c r="C144" s="24" t="str">
        <x:v>Marketing testing</x:v>
      </x:c>
      <x:c r="D144" s="24" t="str">
        <x:v>Marketing</x:v>
      </x:c>
      <x:c r="E144" s="25" t="n">
        <x:v>10</x:v>
      </x:c>
      <x:c r="F144" s="25" t="n">
        <x:v>10</x:v>
      </x:c>
      <x:c r="G144" s="26" t="str">
        <x:v>Not Started</x:v>
      </x:c>
      <x:c r="H144" s="26" t="str">
        <x:f>IF(G144="Not Needed","Not Needed",IF(G144="Complete","Complete",IF(G144="Blocked","Blocked",IF(G144="At Risk","At Risk",IF(OR(E144="",F144=""),"Schedule TBD",IF(F144&lt;'Overview'!$B$8,"Late",IF(E144&lt;='Overview'!$B$8+2,"Due Soon","On Track")))))))</x:f>
        <x:v>On Track</x:v>
      </x:c>
      <x:c r="I144" s="30" t="str"/>
      <x:c r="J144" s="30" t="str"/>
      <x:c r="K144" s="27" t="str"/>
      <x:c r="L144" s="27" t="str">
        <x:v>​10.6</x:v>
      </x:c>
      <x:c r="M144" s="28" t="n">
        <x:f>IF(OR(E144="",F144=""),"",F144-E144+1)</x:f>
        <x:v>1</x:v>
      </x:c>
      <x:c r="N144" s="29" t="str"/>
      <x:c r="O144" s="27" t="str"/>
      <x:c r="P144" s="20" t="str">
        <x:f>IF(AND(G144&lt;&gt;"Not Needed",G144&lt;&gt;"Complete",OR(G144="Blocked",G144="At Risk",G144="In Progress",H144="Late",H144="Due Soon")),COUNT($P$6:P143)+1,"")</x:f>
      </x:c>
    </x:row>
    <x:row r="145" ht="24" customHeight="1">
      <x:c r="A145" s="21" t="str">
        <x:v>​10.10</x:v>
      </x:c>
      <x:c r="B145" s="24" t="str">
        <x:v>User Acceptance Testing</x:v>
      </x:c>
      <x:c r="C145" s="24" t="str">
        <x:v>Capture defects/issues</x:v>
      </x:c>
      <x:c r="D145" s="24" t="str">
        <x:v>PM</x:v>
      </x:c>
      <x:c r="E145" s="25" t="n">
        <x:v>10</x:v>
      </x:c>
      <x:c r="F145" s="25" t="n">
        <x:v>10</x:v>
      </x:c>
      <x:c r="G145" s="26" t="str">
        <x:v>Not Started</x:v>
      </x:c>
      <x:c r="H145" s="26" t="str">
        <x:f>IF(G145="Not Needed","Not Needed",IF(G145="Complete","Complete",IF(G145="Blocked","Blocked",IF(G145="At Risk","At Risk",IF(OR(E145="",F145=""),"Schedule TBD",IF(F145&lt;'Overview'!$B$8,"Late",IF(E145&lt;='Overview'!$B$8+2,"Due Soon","On Track")))))))</x:f>
        <x:v>On Track</x:v>
      </x:c>
      <x:c r="I145" s="30" t="str"/>
      <x:c r="J145" s="30" t="str"/>
      <x:c r="K145" s="27" t="str">
        <x:v>QA</x:v>
      </x:c>
      <x:c r="L145" s="27" t="str">
        <x:v>​10.7–10.9</x:v>
      </x:c>
      <x:c r="M145" s="28" t="n">
        <x:f>IF(OR(E145="",F145=""),"",F145-E145+1)</x:f>
        <x:v>1</x:v>
      </x:c>
      <x:c r="N145" s="29" t="str"/>
      <x:c r="O145" s="27" t="str"/>
      <x:c r="P145" s="20" t="str">
        <x:f>IF(AND(G145&lt;&gt;"Not Needed",G145&lt;&gt;"Complete",OR(G145="Blocked",G145="At Risk",G145="In Progress",H145="Late",H145="Due Soon")),COUNT($P$6:P144)+1,"")</x:f>
      </x:c>
    </x:row>
    <x:row r="146" ht="24" customHeight="1">
      <x:c r="A146" s="21" t="str">
        <x:v>​10.11</x:v>
      </x:c>
      <x:c r="B146" s="24" t="str">
        <x:v>User Acceptance Testing</x:v>
      </x:c>
      <x:c r="C146" s="24" t="str">
        <x:v>Remediate critical defects</x:v>
      </x:c>
      <x:c r="D146" s="24" t="str">
        <x:v>Tech</x:v>
      </x:c>
      <x:c r="E146" s="25" t="n">
        <x:v>10</x:v>
      </x:c>
      <x:c r="F146" s="25" t="n">
        <x:v>11</x:v>
      </x:c>
      <x:c r="G146" s="26" t="str">
        <x:v>Not Started</x:v>
      </x:c>
      <x:c r="H146" s="26" t="str">
        <x:f>IF(G146="Not Needed","Not Needed",IF(G146="Complete","Complete",IF(G146="Blocked","Blocked",IF(G146="At Risk","At Risk",IF(OR(E146="",F146=""),"Schedule TBD",IF(F146&lt;'Overview'!$B$8,"Late",IF(E146&lt;='Overview'!$B$8+2,"Due Soon","On Track")))))))</x:f>
        <x:v>On Track</x:v>
      </x:c>
      <x:c r="I146" s="30" t="str"/>
      <x:c r="J146" s="30" t="str"/>
      <x:c r="K146" s="27" t="str">
        <x:v>Vendor</x:v>
      </x:c>
      <x:c r="L146" s="27" t="str">
        <x:v>​10.10</x:v>
      </x:c>
      <x:c r="M146" s="28" t="n">
        <x:f>IF(OR(E146="",F146=""),"",F146-E146+1)</x:f>
        <x:v>2</x:v>
      </x:c>
      <x:c r="N146" s="29" t="str"/>
      <x:c r="O146" s="27" t="str"/>
      <x:c r="P146" s="20" t="str">
        <x:f>IF(AND(G146&lt;&gt;"Not Needed",G146&lt;&gt;"Complete",OR(G146="Blocked",G146="At Risk",G146="In Progress",H146="Late",H146="Due Soon")),COUNT($P$6:P145)+1,"")</x:f>
      </x:c>
    </x:row>
    <x:row r="147" ht="24" customHeight="1">
      <x:c r="A147" s="21" t="str">
        <x:v>​10.12</x:v>
      </x:c>
      <x:c r="B147" s="24" t="str">
        <x:v>User Acceptance Testing</x:v>
      </x:c>
      <x:c r="C147" s="24" t="str">
        <x:v>UAT regression</x:v>
      </x:c>
      <x:c r="D147" s="24" t="str">
        <x:v>QA</x:v>
      </x:c>
      <x:c r="E147" s="25" t="n">
        <x:v>11</x:v>
      </x:c>
      <x:c r="F147" s="25" t="n">
        <x:v>11</x:v>
      </x:c>
      <x:c r="G147" s="26" t="str">
        <x:v>Not Started</x:v>
      </x:c>
      <x:c r="H147" s="26" t="str">
        <x:f>IF(G147="Not Needed","Not Needed",IF(G147="Complete","Complete",IF(G147="Blocked","Blocked",IF(G147="At Risk","At Risk",IF(OR(E147="",F147=""),"Schedule TBD",IF(F147&lt;'Overview'!$B$8,"Late",IF(E147&lt;='Overview'!$B$8+2,"Due Soon","On Track")))))))</x:f>
        <x:v>On Track</x:v>
      </x:c>
      <x:c r="I147" s="30" t="str"/>
      <x:c r="J147" s="30" t="str"/>
      <x:c r="K147" s="27" t="str">
        <x:v>UAT Team</x:v>
      </x:c>
      <x:c r="L147" s="27" t="str">
        <x:v>​10.11</x:v>
      </x:c>
      <x:c r="M147" s="28" t="n">
        <x:f>IF(OR(E147="",F147=""),"",F147-E147+1)</x:f>
        <x:v>1</x:v>
      </x:c>
      <x:c r="N147" s="29" t="str"/>
      <x:c r="O147" s="27" t="str"/>
      <x:c r="P147" s="20" t="str">
        <x:f>IF(AND(G147&lt;&gt;"Not Needed",G147&lt;&gt;"Complete",OR(G147="Blocked",G147="At Risk",G147="In Progress",H147="Late",H147="Due Soon")),COUNT($P$6:P146)+1,"")</x:f>
      </x:c>
    </x:row>
    <x:row r="148" ht="24" customHeight="1">
      <x:c r="A148" s="21" t="str">
        <x:v>​10.13</x:v>
      </x:c>
      <x:c r="B148" s="24" t="str">
        <x:v>User Acceptance Testing</x:v>
      </x:c>
      <x:c r="C148" s="24" t="str">
        <x:v>Obtain business signoff</x:v>
      </x:c>
      <x:c r="D148" s="24" t="str">
        <x:v>Product</x:v>
      </x:c>
      <x:c r="E148" s="25" t="n">
        <x:v>11</x:v>
      </x:c>
      <x:c r="F148" s="25" t="n">
        <x:v>11</x:v>
      </x:c>
      <x:c r="G148" s="26" t="str">
        <x:v>Not Started</x:v>
      </x:c>
      <x:c r="H148" s="26" t="str">
        <x:f>IF(G148="Not Needed","Not Needed",IF(G148="Complete","Complete",IF(G148="Blocked","Blocked",IF(G148="At Risk","At Risk",IF(OR(E148="",F148=""),"Schedule TBD",IF(F148&lt;'Overview'!$B$8,"Late",IF(E148&lt;='Overview'!$B$8+2,"Due Soon","On Track")))))))</x:f>
        <x:v>On Track</x:v>
      </x:c>
      <x:c r="I148" s="30" t="str"/>
      <x:c r="J148" s="30" t="str"/>
      <x:c r="K148" s="27" t="str"/>
      <x:c r="L148" s="27" t="str">
        <x:v>​10.12</x:v>
      </x:c>
      <x:c r="M148" s="28" t="n">
        <x:f>IF(OR(E148="",F148=""),"",F148-E148+1)</x:f>
        <x:v>1</x:v>
      </x:c>
      <x:c r="N148" s="29" t="str">
        <x:v>Milestone</x:v>
      </x:c>
      <x:c r="O148" s="27" t="str"/>
      <x:c r="P148" s="20" t="str">
        <x:f>IF(AND(G148&lt;&gt;"Not Needed",G148&lt;&gt;"Complete",OR(G148="Blocked",G148="At Risk",G148="In Progress",H148="Late",H148="Due Soon")),COUNT($P$6:P147)+1,"")</x:f>
      </x:c>
    </x:row>
    <x:row r="149" ht="24" customHeight="1">
      <x:c r="A149" s="21" t="str">
        <x:v>​11.1</x:v>
      </x:c>
      <x:c r="B149" s="24" t="str">
        <x:v>Operations &amp; Support Readiness</x:v>
      </x:c>
      <x:c r="C149" s="24" t="str">
        <x:v>Define customer support model</x:v>
      </x:c>
      <x:c r="D149" s="24" t="str">
        <x:v>Operations</x:v>
      </x:c>
      <x:c r="E149" s="25" t="n">
        <x:v>8</x:v>
      </x:c>
      <x:c r="F149" s="25" t="n">
        <x:v>8</x:v>
      </x:c>
      <x:c r="G149" s="26" t="str">
        <x:v>Not Started</x:v>
      </x:c>
      <x:c r="H149" s="26" t="str">
        <x:f>IF(G149="Not Needed","Not Needed",IF(G149="Complete","Complete",IF(G149="Blocked","Blocked",IF(G149="At Risk","At Risk",IF(OR(E149="",F149=""),"Schedule TBD",IF(F149&lt;'Overview'!$B$8,"Late",IF(E149&lt;='Overview'!$B$8+2,"Due Soon","On Track")))))))</x:f>
        <x:v>On Track</x:v>
      </x:c>
      <x:c r="I149" s="30" t="str"/>
      <x:c r="J149" s="30" t="str"/>
      <x:c r="K149" s="27" t="str"/>
      <x:c r="L149" s="27" t="str">
        <x:v>​2.11</x:v>
      </x:c>
      <x:c r="M149" s="28" t="n">
        <x:f>IF(OR(E149="",F149=""),"",F149-E149+1)</x:f>
        <x:v>1</x:v>
      </x:c>
      <x:c r="N149" s="29" t="str"/>
      <x:c r="O149" s="27" t="str"/>
      <x:c r="P149" s="20" t="str">
        <x:f>IF(AND(G149&lt;&gt;"Not Needed",G149&lt;&gt;"Complete",OR(G149="Blocked",G149="At Risk",G149="In Progress",H149="Late",H149="Due Soon")),COUNT($P$6:P148)+1,"")</x:f>
      </x:c>
    </x:row>
    <x:row r="150" ht="24" customHeight="1">
      <x:c r="A150" s="21" t="str">
        <x:v>​11.2</x:v>
      </x:c>
      <x:c r="B150" s="24" t="str">
        <x:v>Operations &amp; Support Readiness</x:v>
      </x:c>
      <x:c r="C150" s="24" t="str">
        <x:v>Define Level 1 support ownership</x:v>
      </x:c>
      <x:c r="D150" s="24" t="str">
        <x:v>Operations</x:v>
      </x:c>
      <x:c r="E150" s="25" t="n">
        <x:v>8</x:v>
      </x:c>
      <x:c r="F150" s="25" t="n">
        <x:v>8</x:v>
      </x:c>
      <x:c r="G150" s="26" t="str">
        <x:v>Not Started</x:v>
      </x:c>
      <x:c r="H150" s="26" t="str">
        <x:f>IF(G150="Not Needed","Not Needed",IF(G150="Complete","Complete",IF(G150="Blocked","Blocked",IF(G150="At Risk","At Risk",IF(OR(E150="",F150=""),"Schedule TBD",IF(F150&lt;'Overview'!$B$8,"Late",IF(E150&lt;='Overview'!$B$8+2,"Due Soon","On Track")))))))</x:f>
        <x:v>On Track</x:v>
      </x:c>
      <x:c r="I150" s="30" t="str"/>
      <x:c r="J150" s="30" t="str"/>
      <x:c r="K150" s="27" t="str"/>
      <x:c r="L150" s="27" t="str">
        <x:v>​11.1</x:v>
      </x:c>
      <x:c r="M150" s="28" t="n">
        <x:f>IF(OR(E150="",F150=""),"",F150-E150+1)</x:f>
        <x:v>1</x:v>
      </x:c>
      <x:c r="N150" s="29" t="str"/>
      <x:c r="O150" s="27" t="str"/>
      <x:c r="P150" s="20" t="str">
        <x:f>IF(AND(G150&lt;&gt;"Not Needed",G150&lt;&gt;"Complete",OR(G150="Blocked",G150="At Risk",G150="In Progress",H150="Late",H150="Due Soon")),COUNT($P$6:P149)+1,"")</x:f>
      </x:c>
    </x:row>
    <x:row r="151" ht="24" customHeight="1">
      <x:c r="A151" s="21" t="str">
        <x:v>​11.3</x:v>
      </x:c>
      <x:c r="B151" s="24" t="str">
        <x:v>Operations &amp; Support Readiness</x:v>
      </x:c>
      <x:c r="C151" s="24" t="str">
        <x:v>Define escalation to Digital</x:v>
      </x:c>
      <x:c r="D151" s="24" t="str">
        <x:v>Operations</x:v>
      </x:c>
      <x:c r="E151" s="25" t="n">
        <x:v>8</x:v>
      </x:c>
      <x:c r="F151" s="25" t="n">
        <x:v>8</x:v>
      </x:c>
      <x:c r="G151" s="26" t="str">
        <x:v>Not Started</x:v>
      </x:c>
      <x:c r="H151" s="26" t="str">
        <x:f>IF(G151="Not Needed","Not Needed",IF(G151="Complete","Complete",IF(G151="Blocked","Blocked",IF(G151="At Risk","At Risk",IF(OR(E151="",F151=""),"Schedule TBD",IF(F151&lt;'Overview'!$B$8,"Late",IF(E151&lt;='Overview'!$B$8+2,"Due Soon","On Track")))))))</x:f>
        <x:v>On Track</x:v>
      </x:c>
      <x:c r="I151" s="30" t="str"/>
      <x:c r="J151" s="30" t="str"/>
      <x:c r="K151" s="27" t="str"/>
      <x:c r="L151" s="27" t="str">
        <x:v>​11.1</x:v>
      </x:c>
      <x:c r="M151" s="28" t="n">
        <x:f>IF(OR(E151="",F151=""),"",F151-E151+1)</x:f>
        <x:v>1</x:v>
      </x:c>
      <x:c r="N151" s="29" t="str"/>
      <x:c r="O151" s="27" t="str"/>
      <x:c r="P151" s="20" t="str">
        <x:f>IF(AND(G151&lt;&gt;"Not Needed",G151&lt;&gt;"Complete",OR(G151="Blocked",G151="At Risk",G151="In Progress",H151="Late",H151="Due Soon")),COUNT($P$6:P150)+1,"")</x:f>
      </x:c>
    </x:row>
    <x:row r="152" ht="24" customHeight="1">
      <x:c r="A152" s="21" t="str">
        <x:v>​11.4</x:v>
      </x:c>
      <x:c r="B152" s="24" t="str">
        <x:v>Operations &amp; Support Readiness</x:v>
      </x:c>
      <x:c r="C152" s="24" t="str">
        <x:v>Define escalation to SavvyMoney</x:v>
      </x:c>
      <x:c r="D152" s="24" t="str">
        <x:v>Operations</x:v>
      </x:c>
      <x:c r="E152" s="25" t="n">
        <x:v>8</x:v>
      </x:c>
      <x:c r="F152" s="25" t="n">
        <x:v>8</x:v>
      </x:c>
      <x:c r="G152" s="26" t="str">
        <x:v>Not Started</x:v>
      </x:c>
      <x:c r="H152" s="26" t="str">
        <x:f>IF(G152="Not Needed","Not Needed",IF(G152="Complete","Complete",IF(G152="Blocked","Blocked",IF(G152="At Risk","At Risk",IF(OR(E152="",F152=""),"Schedule TBD",IF(F152&lt;'Overview'!$B$8,"Late",IF(E152&lt;='Overview'!$B$8+2,"Due Soon","On Track")))))))</x:f>
        <x:v>On Track</x:v>
      </x:c>
      <x:c r="I152" s="30" t="str"/>
      <x:c r="J152" s="30" t="str"/>
      <x:c r="K152" s="27" t="str">
        <x:v>Vendor</x:v>
      </x:c>
      <x:c r="L152" s="27" t="str">
        <x:v>​11.1</x:v>
      </x:c>
      <x:c r="M152" s="28" t="n">
        <x:f>IF(OR(E152="",F152=""),"",F152-E152+1)</x:f>
        <x:v>1</x:v>
      </x:c>
      <x:c r="N152" s="29" t="str"/>
      <x:c r="O152" s="27" t="str"/>
      <x:c r="P152" s="20" t="str">
        <x:f>IF(AND(G152&lt;&gt;"Not Needed",G152&lt;&gt;"Complete",OR(G152="Blocked",G152="At Risk",G152="In Progress",H152="Late",H152="Due Soon")),COUNT($P$6:P151)+1,"")</x:f>
      </x:c>
    </x:row>
    <x:row r="153" ht="24" customHeight="1">
      <x:c r="A153" s="21" t="str">
        <x:v>​11.5</x:v>
      </x:c>
      <x:c r="B153" s="24" t="str">
        <x:v>Operations &amp; Support Readiness</x:v>
      </x:c>
      <x:c r="C153" s="24" t="str">
        <x:v>Document common failure scenarios</x:v>
      </x:c>
      <x:c r="D153" s="24" t="str">
        <x:v>Operations</x:v>
      </x:c>
      <x:c r="E153" s="25" t="n">
        <x:v>9</x:v>
      </x:c>
      <x:c r="F153" s="25" t="n">
        <x:v>9</x:v>
      </x:c>
      <x:c r="G153" s="26" t="str">
        <x:v>Not Started</x:v>
      </x:c>
      <x:c r="H153" s="26" t="str">
        <x:f>IF(G153="Not Needed","Not Needed",IF(G153="Complete","Complete",IF(G153="Blocked","Blocked",IF(G153="At Risk","At Risk",IF(OR(E153="",F153=""),"Schedule TBD",IF(F153&lt;'Overview'!$B$8,"Late",IF(E153&lt;='Overview'!$B$8+2,"Due Soon","On Track")))))))</x:f>
        <x:v>On Track</x:v>
      </x:c>
      <x:c r="I153" s="30" t="str"/>
      <x:c r="J153" s="30" t="str"/>
      <x:c r="K153" s="27" t="str">
        <x:v>Product</x:v>
      </x:c>
      <x:c r="L153" s="27" t="str">
        <x:v>​9.10</x:v>
      </x:c>
      <x:c r="M153" s="28" t="n">
        <x:f>IF(OR(E153="",F153=""),"",F153-E153+1)</x:f>
        <x:v>1</x:v>
      </x:c>
      <x:c r="N153" s="29" t="str"/>
      <x:c r="O153" s="27" t="str"/>
      <x:c r="P153" s="20" t="str">
        <x:f>IF(AND(G153&lt;&gt;"Not Needed",G153&lt;&gt;"Complete",OR(G153="Blocked",G153="At Risk",G153="In Progress",H153="Late",H153="Due Soon")),COUNT($P$6:P152)+1,"")</x:f>
      </x:c>
    </x:row>
    <x:row r="154" ht="24" customHeight="1">
      <x:c r="A154" s="21" t="str">
        <x:v>​11.6</x:v>
      </x:c>
      <x:c r="B154" s="24" t="str">
        <x:v>Operations &amp; Support Readiness</x:v>
      </x:c>
      <x:c r="C154" s="24" t="str">
        <x:v>Develop call-center scripting</x:v>
      </x:c>
      <x:c r="D154" s="24" t="str">
        <x:v>Operations</x:v>
      </x:c>
      <x:c r="E154" s="25" t="n">
        <x:v>10</x:v>
      </x:c>
      <x:c r="F154" s="25" t="n">
        <x:v>10</x:v>
      </x:c>
      <x:c r="G154" s="26" t="str">
        <x:v>Not Started</x:v>
      </x:c>
      <x:c r="H154" s="26" t="str">
        <x:f>IF(G154="Not Needed","Not Needed",IF(G154="Complete","Complete",IF(G154="Blocked","Blocked",IF(G154="At Risk","At Risk",IF(OR(E154="",F154=""),"Schedule TBD",IF(F154&lt;'Overview'!$B$8,"Late",IF(E154&lt;='Overview'!$B$8+2,"Due Soon","On Track")))))))</x:f>
        <x:v>On Track</x:v>
      </x:c>
      <x:c r="I154" s="30" t="str"/>
      <x:c r="J154" s="30" t="str"/>
      <x:c r="K154" s="27" t="str"/>
      <x:c r="L154" s="27" t="str">
        <x:v>​11.5</x:v>
      </x:c>
      <x:c r="M154" s="28" t="n">
        <x:f>IF(OR(E154="",F154=""),"",F154-E154+1)</x:f>
        <x:v>1</x:v>
      </x:c>
      <x:c r="N154" s="29" t="str"/>
      <x:c r="O154" s="27" t="str"/>
      <x:c r="P154" s="20" t="str">
        <x:f>IF(AND(G154&lt;&gt;"Not Needed",G154&lt;&gt;"Complete",OR(G154="Blocked",G154="At Risk",G154="In Progress",H154="Late",H154="Due Soon")),COUNT($P$6:P153)+1,"")</x:f>
      </x:c>
    </x:row>
    <x:row r="155" ht="24" customHeight="1">
      <x:c r="A155" s="21" t="str">
        <x:v>​11.7</x:v>
      </x:c>
      <x:c r="B155" s="24" t="str">
        <x:v>Operations &amp; Support Readiness</x:v>
      </x:c>
      <x:c r="C155" s="24" t="str">
        <x:v>Develop branch scripting</x:v>
      </x:c>
      <x:c r="D155" s="24" t="str">
        <x:v>Operations</x:v>
      </x:c>
      <x:c r="E155" s="25" t="n">
        <x:v>10</x:v>
      </x:c>
      <x:c r="F155" s="25" t="n">
        <x:v>10</x:v>
      </x:c>
      <x:c r="G155" s="26" t="str">
        <x:v>Not Started</x:v>
      </x:c>
      <x:c r="H155" s="26" t="str">
        <x:f>IF(G155="Not Needed","Not Needed",IF(G155="Complete","Complete",IF(G155="Blocked","Blocked",IF(G155="At Risk","At Risk",IF(OR(E155="",F155=""),"Schedule TBD",IF(F155&lt;'Overview'!$B$8,"Late",IF(E155&lt;='Overview'!$B$8+2,"Due Soon","On Track")))))))</x:f>
        <x:v>On Track</x:v>
      </x:c>
      <x:c r="I155" s="30" t="str"/>
      <x:c r="J155" s="30" t="str"/>
      <x:c r="K155" s="27" t="str"/>
      <x:c r="L155" s="27" t="str">
        <x:v>​11.5</x:v>
      </x:c>
      <x:c r="M155" s="28" t="n">
        <x:f>IF(OR(E155="",F155=""),"",F155-E155+1)</x:f>
        <x:v>1</x:v>
      </x:c>
      <x:c r="N155" s="29" t="str"/>
      <x:c r="O155" s="27" t="str"/>
      <x:c r="P155" s="20" t="str">
        <x:f>IF(AND(G155&lt;&gt;"Not Needed",G155&lt;&gt;"Complete",OR(G155="Blocked",G155="At Risk",G155="In Progress",H155="Late",H155="Due Soon")),COUNT($P$6:P154)+1,"")</x:f>
      </x:c>
    </x:row>
    <x:row r="156" ht="24" customHeight="1">
      <x:c r="A156" s="21" t="str">
        <x:v>​11.8</x:v>
      </x:c>
      <x:c r="B156" s="24" t="str">
        <x:v>Operations &amp; Support Readiness</x:v>
      </x:c>
      <x:c r="C156" s="24" t="str">
        <x:v>Develop customer FAQ</x:v>
      </x:c>
      <x:c r="D156" s="24" t="str">
        <x:v>Product</x:v>
      </x:c>
      <x:c r="E156" s="25" t="n">
        <x:v>10</x:v>
      </x:c>
      <x:c r="F156" s="25" t="n">
        <x:v>10</x:v>
      </x:c>
      <x:c r="G156" s="26" t="str">
        <x:v>Not Started</x:v>
      </x:c>
      <x:c r="H156" s="26" t="str">
        <x:f>IF(G156="Not Needed","Not Needed",IF(G156="Complete","Complete",IF(G156="Blocked","Blocked",IF(G156="At Risk","At Risk",IF(OR(E156="",F156=""),"Schedule TBD",IF(F156&lt;'Overview'!$B$8,"Late",IF(E156&lt;='Overview'!$B$8+2,"Due Soon","On Track")))))))</x:f>
        <x:v>On Track</x:v>
      </x:c>
      <x:c r="I156" s="30" t="str"/>
      <x:c r="J156" s="30" t="str"/>
      <x:c r="K156" s="27" t="str">
        <x:v>Content</x:v>
      </x:c>
      <x:c r="L156" s="27" t="str">
        <x:v>​11.5</x:v>
      </x:c>
      <x:c r="M156" s="28" t="n">
        <x:f>IF(OR(E156="",F156=""),"",F156-E156+1)</x:f>
        <x:v>1</x:v>
      </x:c>
      <x:c r="N156" s="29" t="str"/>
      <x:c r="O156" s="27" t="str"/>
      <x:c r="P156" s="20" t="str">
        <x:f>IF(AND(G156&lt;&gt;"Not Needed",G156&lt;&gt;"Complete",OR(G156="Blocked",G156="At Risk",G156="In Progress",H156="Late",H156="Due Soon")),COUNT($P$6:P155)+1,"")</x:f>
      </x:c>
    </x:row>
    <x:row r="157" ht="24" customHeight="1">
      <x:c r="A157" s="21" t="str">
        <x:v>​11.9</x:v>
      </x:c>
      <x:c r="B157" s="24" t="str">
        <x:v>Operations &amp; Support Readiness</x:v>
      </x:c>
      <x:c r="C157" s="24" t="str">
        <x:v>Develop internal FAQ</x:v>
      </x:c>
      <x:c r="D157" s="24" t="str">
        <x:v>Product</x:v>
      </x:c>
      <x:c r="E157" s="25" t="n">
        <x:v>10</x:v>
      </x:c>
      <x:c r="F157" s="25" t="n">
        <x:v>10</x:v>
      </x:c>
      <x:c r="G157" s="26" t="str">
        <x:v>Not Started</x:v>
      </x:c>
      <x:c r="H157" s="26" t="str">
        <x:f>IF(G157="Not Needed","Not Needed",IF(G157="Complete","Complete",IF(G157="Blocked","Blocked",IF(G157="At Risk","At Risk",IF(OR(E157="",F157=""),"Schedule TBD",IF(F157&lt;'Overview'!$B$8,"Late",IF(E157&lt;='Overview'!$B$8+2,"Due Soon","On Track")))))))</x:f>
        <x:v>On Track</x:v>
      </x:c>
      <x:c r="I157" s="30" t="str"/>
      <x:c r="J157" s="30" t="str"/>
      <x:c r="K157" s="27" t="str">
        <x:v>Ops</x:v>
      </x:c>
      <x:c r="L157" s="27" t="str">
        <x:v>​11.5</x:v>
      </x:c>
      <x:c r="M157" s="28" t="n">
        <x:f>IF(OR(E157="",F157=""),"",F157-E157+1)</x:f>
        <x:v>1</x:v>
      </x:c>
      <x:c r="N157" s="29" t="str"/>
      <x:c r="O157" s="27" t="str"/>
      <x:c r="P157" s="20" t="str">
        <x:f>IF(AND(G157&lt;&gt;"Not Needed",G157&lt;&gt;"Complete",OR(G157="Blocked",G157="At Risk",G157="In Progress",H157="Late",H157="Due Soon")),COUNT($P$6:P156)+1,"")</x:f>
      </x:c>
    </x:row>
    <x:row r="158" ht="24" customHeight="1">
      <x:c r="A158" s="21" t="str">
        <x:v>​11.10</x:v>
      </x:c>
      <x:c r="B158" s="24" t="str">
        <x:v>Operations &amp; Support Readiness</x:v>
      </x:c>
      <x:c r="C158" s="24" t="str">
        <x:v>Create support documentation</x:v>
      </x:c>
      <x:c r="D158" s="24" t="str">
        <x:v>Operations</x:v>
      </x:c>
      <x:c r="E158" s="25" t="n">
        <x:v>10</x:v>
      </x:c>
      <x:c r="F158" s="25" t="n">
        <x:v>10</x:v>
      </x:c>
      <x:c r="G158" s="26" t="str">
        <x:v>Not Started</x:v>
      </x:c>
      <x:c r="H158" s="26" t="str">
        <x:f>IF(G158="Not Needed","Not Needed",IF(G158="Complete","Complete",IF(G158="Blocked","Blocked",IF(G158="At Risk","At Risk",IF(OR(E158="",F158=""),"Schedule TBD",IF(F158&lt;'Overview'!$B$8,"Late",IF(E158&lt;='Overview'!$B$8+2,"Due Soon","On Track")))))))</x:f>
        <x:v>On Track</x:v>
      </x:c>
      <x:c r="I158" s="30" t="str"/>
      <x:c r="J158" s="30" t="str"/>
      <x:c r="K158" s="27" t="str"/>
      <x:c r="L158" s="27" t="str">
        <x:v>​11.5</x:v>
      </x:c>
      <x:c r="M158" s="28" t="n">
        <x:f>IF(OR(E158="",F158=""),"",F158-E158+1)</x:f>
        <x:v>1</x:v>
      </x:c>
      <x:c r="N158" s="29" t="str"/>
      <x:c r="O158" s="27" t="str"/>
      <x:c r="P158" s="20" t="str">
        <x:f>IF(AND(G158&lt;&gt;"Not Needed",G158&lt;&gt;"Complete",OR(G158="Blocked",G158="At Risk",G158="In Progress",H158="Late",H158="Due Soon")),COUNT($P$6:P157)+1,"")</x:f>
      </x:c>
    </x:row>
    <x:row r="159" ht="24" customHeight="1">
      <x:c r="A159" s="21" t="str">
        <x:v>​11.11</x:v>
      </x:c>
      <x:c r="B159" s="24" t="str">
        <x:v>Operations &amp; Support Readiness</x:v>
      </x:c>
      <x:c r="C159" s="24" t="str">
        <x:v>Train contact center</x:v>
      </x:c>
      <x:c r="D159" s="24" t="str">
        <x:v>Operations</x:v>
      </x:c>
      <x:c r="E159" s="25" t="n">
        <x:v>11</x:v>
      </x:c>
      <x:c r="F159" s="25" t="n">
        <x:v>11</x:v>
      </x:c>
      <x:c r="G159" s="26" t="str">
        <x:v>Not Started</x:v>
      </x:c>
      <x:c r="H159" s="26" t="str">
        <x:f>IF(G159="Not Needed","Not Needed",IF(G159="Complete","Complete",IF(G159="Blocked","Blocked",IF(G159="At Risk","At Risk",IF(OR(E159="",F159=""),"Schedule TBD",IF(F159&lt;'Overview'!$B$8,"Late",IF(E159&lt;='Overview'!$B$8+2,"Due Soon","On Track")))))))</x:f>
        <x:v>On Track</x:v>
      </x:c>
      <x:c r="I159" s="30" t="str"/>
      <x:c r="J159" s="30" t="str"/>
      <x:c r="K159" s="27" t="str"/>
      <x:c r="L159" s="27" t="str">
        <x:v>​11.6–11.10</x:v>
      </x:c>
      <x:c r="M159" s="28" t="n">
        <x:f>IF(OR(E159="",F159=""),"",F159-E159+1)</x:f>
        <x:v>1</x:v>
      </x:c>
      <x:c r="N159" s="29" t="str"/>
      <x:c r="O159" s="27" t="str"/>
      <x:c r="P159" s="20" t="str">
        <x:f>IF(AND(G159&lt;&gt;"Not Needed",G159&lt;&gt;"Complete",OR(G159="Blocked",G159="At Risk",G159="In Progress",H159="Late",H159="Due Soon")),COUNT($P$6:P158)+1,"")</x:f>
      </x:c>
    </x:row>
    <x:row r="160" ht="24" customHeight="1">
      <x:c r="A160" s="21" t="str">
        <x:v>​11.12</x:v>
      </x:c>
      <x:c r="B160" s="24" t="str">
        <x:v>Operations &amp; Support Readiness</x:v>
      </x:c>
      <x:c r="C160" s="24" t="str">
        <x:v>Train branches</x:v>
      </x:c>
      <x:c r="D160" s="24" t="str">
        <x:v>Operations</x:v>
      </x:c>
      <x:c r="E160" s="25" t="n">
        <x:v>11</x:v>
      </x:c>
      <x:c r="F160" s="25" t="n">
        <x:v>11</x:v>
      </x:c>
      <x:c r="G160" s="26" t="str">
        <x:v>Not Started</x:v>
      </x:c>
      <x:c r="H160" s="26" t="str">
        <x:f>IF(G160="Not Needed","Not Needed",IF(G160="Complete","Complete",IF(G160="Blocked","Blocked",IF(G160="At Risk","At Risk",IF(OR(E160="",F160=""),"Schedule TBD",IF(F160&lt;'Overview'!$B$8,"Late",IF(E160&lt;='Overview'!$B$8+2,"Due Soon","On Track")))))))</x:f>
        <x:v>On Track</x:v>
      </x:c>
      <x:c r="I160" s="30" t="str"/>
      <x:c r="J160" s="30" t="str"/>
      <x:c r="K160" s="27" t="str"/>
      <x:c r="L160" s="27" t="str">
        <x:v>​11.7–11.10</x:v>
      </x:c>
      <x:c r="M160" s="28" t="n">
        <x:f>IF(OR(E160="",F160=""),"",F160-E160+1)</x:f>
        <x:v>1</x:v>
      </x:c>
      <x:c r="N160" s="29" t="str"/>
      <x:c r="O160" s="27" t="str"/>
      <x:c r="P160" s="20" t="str">
        <x:f>IF(AND(G160&lt;&gt;"Not Needed",G160&lt;&gt;"Complete",OR(G160="Blocked",G160="At Risk",G160="In Progress",H160="Late",H160="Due Soon")),COUNT($P$6:P159)+1,"")</x:f>
      </x:c>
    </x:row>
    <x:row r="161" ht="24" customHeight="1">
      <x:c r="A161" s="21" t="str">
        <x:v>​11.13</x:v>
      </x:c>
      <x:c r="B161" s="24" t="str">
        <x:v>Operations &amp; Support Readiness</x:v>
      </x:c>
      <x:c r="C161" s="24" t="str">
        <x:v>Confirm vendor support contacts</x:v>
      </x:c>
      <x:c r="D161" s="24" t="str">
        <x:v>PM</x:v>
      </x:c>
      <x:c r="E161" s="25" t="n">
        <x:v>11</x:v>
      </x:c>
      <x:c r="F161" s="25" t="n">
        <x:v>11</x:v>
      </x:c>
      <x:c r="G161" s="26" t="str">
        <x:v>Not Started</x:v>
      </x:c>
      <x:c r="H161" s="26" t="str">
        <x:f>IF(G161="Not Needed","Not Needed",IF(G161="Complete","Complete",IF(G161="Blocked","Blocked",IF(G161="At Risk","At Risk",IF(OR(E161="",F161=""),"Schedule TBD",IF(F161&lt;'Overview'!$B$8,"Late",IF(E161&lt;='Overview'!$B$8+2,"Due Soon","On Track")))))))</x:f>
        <x:v>On Track</x:v>
      </x:c>
      <x:c r="I161" s="30" t="str"/>
      <x:c r="J161" s="30" t="str"/>
      <x:c r="K161" s="27" t="str"/>
      <x:c r="L161" s="27" t="str">
        <x:v>​11.4</x:v>
      </x:c>
      <x:c r="M161" s="28" t="n">
        <x:f>IF(OR(E161="",F161=""),"",F161-E161+1)</x:f>
        <x:v>1</x:v>
      </x:c>
      <x:c r="N161" s="29" t="str"/>
      <x:c r="O161" s="27" t="str"/>
      <x:c r="P161" s="20" t="str">
        <x:f>IF(AND(G161&lt;&gt;"Not Needed",G161&lt;&gt;"Complete",OR(G161="Blocked",G161="At Risk",G161="In Progress",H161="Late",H161="Due Soon")),COUNT($P$6:P160)+1,"")</x:f>
      </x:c>
    </x:row>
    <x:row r="162" ht="24" customHeight="1">
      <x:c r="A162" s="21" t="str">
        <x:v>​11.14</x:v>
      </x:c>
      <x:c r="B162" s="24" t="str">
        <x:v>Operations &amp; Support Readiness</x:v>
      </x:c>
      <x:c r="C162" s="24" t="str">
        <x:v>Complete operational readiness review</x:v>
      </x:c>
      <x:c r="D162" s="24" t="str">
        <x:v>PM</x:v>
      </x:c>
      <x:c r="E162" s="25" t="n">
        <x:v>12</x:v>
      </x:c>
      <x:c r="F162" s="25" t="n">
        <x:v>12</x:v>
      </x:c>
      <x:c r="G162" s="26" t="str">
        <x:v>Not Started</x:v>
      </x:c>
      <x:c r="H162" s="26" t="str">
        <x:f>IF(G162="Not Needed","Not Needed",IF(G162="Complete","Complete",IF(G162="Blocked","Blocked",IF(G162="At Risk","At Risk",IF(OR(E162="",F162=""),"Schedule TBD",IF(F162&lt;'Overview'!$B$8,"Late",IF(E162&lt;='Overview'!$B$8+2,"Due Soon","On Track")))))))</x:f>
        <x:v>On Track</x:v>
      </x:c>
      <x:c r="I162" s="30" t="str"/>
      <x:c r="J162" s="30" t="str"/>
      <x:c r="K162" s="27" t="str">
        <x:v>Ops</x:v>
      </x:c>
      <x:c r="L162" s="27" t="str">
        <x:v>​11.1–11.13</x:v>
      </x:c>
      <x:c r="M162" s="28" t="n">
        <x:f>IF(OR(E162="",F162=""),"",F162-E162+1)</x:f>
        <x:v>1</x:v>
      </x:c>
      <x:c r="N162" s="29" t="str">
        <x:v>Milestone</x:v>
      </x:c>
      <x:c r="O162" s="27" t="str"/>
      <x:c r="P162" s="20" t="str">
        <x:f>IF(AND(G162&lt;&gt;"Not Needed",G162&lt;&gt;"Complete",OR(G162="Blocked",G162="At Risk",G162="In Progress",H162="Late",H162="Due Soon")),COUNT($P$6:P161)+1,"")</x:f>
      </x:c>
    </x:row>
    <x:row r="163" ht="24" customHeight="1">
      <x:c r="A163" s="21" t="str">
        <x:v>​12.1</x:v>
      </x:c>
      <x:c r="B163" s="24" t="str">
        <x:v>Marketing &amp; Communications</x:v>
      </x:c>
      <x:c r="C163" s="24" t="str">
        <x:v>Define launch communication strategy</x:v>
      </x:c>
      <x:c r="D163" s="24" t="str">
        <x:v>Marketing</x:v>
      </x:c>
      <x:c r="E163" s="25" t="n">
        <x:v>8</x:v>
      </x:c>
      <x:c r="F163" s="25" t="n">
        <x:v>8</x:v>
      </x:c>
      <x:c r="G163" s="26" t="str">
        <x:v>Not Started</x:v>
      </x:c>
      <x:c r="H163" s="26" t="str">
        <x:f>IF(G163="Not Needed","Not Needed",IF(G163="Complete","Complete",IF(G163="Blocked","Blocked",IF(G163="At Risk","At Risk",IF(OR(E163="",F163=""),"Schedule TBD",IF(F163&lt;'Overview'!$B$8,"Late",IF(E163&lt;='Overview'!$B$8+2,"Due Soon","On Track")))))))</x:f>
        <x:v>On Track</x:v>
      </x:c>
      <x:c r="I163" s="30" t="str"/>
      <x:c r="J163" s="30" t="str"/>
      <x:c r="K163" s="27" t="str">
        <x:v>Product</x:v>
      </x:c>
      <x:c r="L163" s="27" t="str">
        <x:v>​2.2</x:v>
      </x:c>
      <x:c r="M163" s="28" t="n">
        <x:f>IF(OR(E163="",F163=""),"",F163-E163+1)</x:f>
        <x:v>1</x:v>
      </x:c>
      <x:c r="N163" s="29" t="str"/>
      <x:c r="O163" s="27" t="str"/>
      <x:c r="P163" s="20" t="str">
        <x:f>IF(AND(G163&lt;&gt;"Not Needed",G163&lt;&gt;"Complete",OR(G163="Blocked",G163="At Risk",G163="In Progress",H163="Late",H163="Due Soon")),COUNT($P$6:P162)+1,"")</x:f>
      </x:c>
    </x:row>
    <x:row r="164" ht="24" customHeight="1">
      <x:c r="A164" s="21" t="str">
        <x:v>​12.2</x:v>
      </x:c>
      <x:c r="B164" s="24" t="str">
        <x:v>Marketing &amp; Communications</x:v>
      </x:c>
      <x:c r="C164" s="24" t="str">
        <x:v>Define soft-launch approach</x:v>
      </x:c>
      <x:c r="D164" s="24" t="str">
        <x:v>Product</x:v>
      </x:c>
      <x:c r="E164" s="25" t="n">
        <x:v>8</x:v>
      </x:c>
      <x:c r="F164" s="25" t="n">
        <x:v>8</x:v>
      </x:c>
      <x:c r="G164" s="26" t="str">
        <x:v>Not Started</x:v>
      </x:c>
      <x:c r="H164" s="26" t="str">
        <x:f>IF(G164="Not Needed","Not Needed",IF(G164="Complete","Complete",IF(G164="Blocked","Blocked",IF(G164="At Risk","At Risk",IF(OR(E164="",F164=""),"Schedule TBD",IF(F164&lt;'Overview'!$B$8,"Late",IF(E164&lt;='Overview'!$B$8+2,"Due Soon","On Track")))))))</x:f>
        <x:v>On Track</x:v>
      </x:c>
      <x:c r="I164" s="30" t="str"/>
      <x:c r="J164" s="30" t="str"/>
      <x:c r="K164" s="27" t="str">
        <x:v>Marketing</x:v>
      </x:c>
      <x:c r="L164" s="27" t="str">
        <x:v>​12.1</x:v>
      </x:c>
      <x:c r="M164" s="28" t="n">
        <x:f>IF(OR(E164="",F164=""),"",F164-E164+1)</x:f>
        <x:v>1</x:v>
      </x:c>
      <x:c r="N164" s="29" t="str"/>
      <x:c r="O164" s="27" t="str"/>
      <x:c r="P164" s="20" t="str">
        <x:f>IF(AND(G164&lt;&gt;"Not Needed",G164&lt;&gt;"Complete",OR(G164="Blocked",G164="At Risk",G164="In Progress",H164="Late",H164="Due Soon")),COUNT($P$6:P163)+1,"")</x:f>
      </x:c>
    </x:row>
    <x:row r="165" ht="24" customHeight="1">
      <x:c r="A165" s="21" t="str">
        <x:v>​12.3</x:v>
      </x:c>
      <x:c r="B165" s="24" t="str">
        <x:v>Marketing &amp; Communications</x:v>
      </x:c>
      <x:c r="C165" s="24" t="str">
        <x:v>Define full-launch approach</x:v>
      </x:c>
      <x:c r="D165" s="24" t="str">
        <x:v>Marketing</x:v>
      </x:c>
      <x:c r="E165" s="25" t="n">
        <x:v>8</x:v>
      </x:c>
      <x:c r="F165" s="25" t="n">
        <x:v>8</x:v>
      </x:c>
      <x:c r="G165" s="26" t="str">
        <x:v>Not Started</x:v>
      </x:c>
      <x:c r="H165" s="26" t="str">
        <x:f>IF(G165="Not Needed","Not Needed",IF(G165="Complete","Complete",IF(G165="Blocked","Blocked",IF(G165="At Risk","At Risk",IF(OR(E165="",F165=""),"Schedule TBD",IF(F165&lt;'Overview'!$B$8,"Late",IF(E165&lt;='Overview'!$B$8+2,"Due Soon","On Track")))))))</x:f>
        <x:v>On Track</x:v>
      </x:c>
      <x:c r="I165" s="30" t="str"/>
      <x:c r="J165" s="30" t="str"/>
      <x:c r="K165" s="27" t="str"/>
      <x:c r="L165" s="27" t="str">
        <x:v>​12.1</x:v>
      </x:c>
      <x:c r="M165" s="28" t="n">
        <x:f>IF(OR(E165="",F165=""),"",F165-E165+1)</x:f>
        <x:v>1</x:v>
      </x:c>
      <x:c r="N165" s="29" t="str"/>
      <x:c r="O165" s="27" t="str"/>
      <x:c r="P165" s="20" t="str">
        <x:f>IF(AND(G165&lt;&gt;"Not Needed",G165&lt;&gt;"Complete",OR(G165="Blocked",G165="At Risk",G165="In Progress",H165="Late",H165="Due Soon")),COUNT($P$6:P164)+1,"")</x:f>
      </x:c>
    </x:row>
    <x:row r="166" ht="24" customHeight="1">
      <x:c r="A166" s="21" t="str">
        <x:v>​12.4</x:v>
      </x:c>
      <x:c r="B166" s="24" t="str">
        <x:v>Marketing &amp; Communications</x:v>
      </x:c>
      <x:c r="C166" s="24" t="str">
        <x:v>Determine customer segments</x:v>
      </x:c>
      <x:c r="D166" s="24" t="str">
        <x:v>Marketing</x:v>
      </x:c>
      <x:c r="E166" s="25" t="n">
        <x:v>9</x:v>
      </x:c>
      <x:c r="F166" s="25" t="n">
        <x:v>9</x:v>
      </x:c>
      <x:c r="G166" s="26" t="str">
        <x:v>Not Started</x:v>
      </x:c>
      <x:c r="H166" s="26" t="str">
        <x:f>IF(G166="Not Needed","Not Needed",IF(G166="Complete","Complete",IF(G166="Blocked","Blocked",IF(G166="At Risk","At Risk",IF(OR(E166="",F166=""),"Schedule TBD",IF(F166&lt;'Overview'!$B$8,"Late",IF(E166&lt;='Overview'!$B$8+2,"Due Soon","On Track")))))))</x:f>
        <x:v>On Track</x:v>
      </x:c>
      <x:c r="I166" s="30" t="str"/>
      <x:c r="J166" s="30" t="str"/>
      <x:c r="K166" s="27" t="str">
        <x:v>Data</x:v>
      </x:c>
      <x:c r="L166" s="27" t="str">
        <x:v>​2.3</x:v>
      </x:c>
      <x:c r="M166" s="28" t="n">
        <x:f>IF(OR(E166="",F166=""),"",F166-E166+1)</x:f>
        <x:v>1</x:v>
      </x:c>
      <x:c r="N166" s="29" t="str"/>
      <x:c r="O166" s="27" t="str"/>
      <x:c r="P166" s="20" t="str">
        <x:f>IF(AND(G166&lt;&gt;"Not Needed",G166&lt;&gt;"Complete",OR(G166="Blocked",G166="At Risk",G166="In Progress",H166="Late",H166="Due Soon")),COUNT($P$6:P165)+1,"")</x:f>
      </x:c>
    </x:row>
    <x:row r="167" ht="24" customHeight="1">
      <x:c r="A167" s="21" t="str">
        <x:v>​12.5</x:v>
      </x:c>
      <x:c r="B167" s="24" t="str">
        <x:v>Marketing &amp; Communications</x:v>
      </x:c>
      <x:c r="C167" s="24" t="str">
        <x:v>Create OLB promotional content</x:v>
      </x:c>
      <x:c r="D167" s="24" t="str">
        <x:v>Marketing</x:v>
      </x:c>
      <x:c r="E167" s="25" t="n">
        <x:v>9</x:v>
      </x:c>
      <x:c r="F167" s="25" t="n">
        <x:v>9</x:v>
      </x:c>
      <x:c r="G167" s="26" t="str">
        <x:v>Not Started</x:v>
      </x:c>
      <x:c r="H167" s="26" t="str">
        <x:f>IF(G167="Not Needed","Not Needed",IF(G167="Complete","Complete",IF(G167="Blocked","Blocked",IF(G167="At Risk","At Risk",IF(OR(E167="",F167=""),"Schedule TBD",IF(F167&lt;'Overview'!$B$8,"Late",IF(E167&lt;='Overview'!$B$8+2,"Due Soon","On Track")))))))</x:f>
        <x:v>On Track</x:v>
      </x:c>
      <x:c r="I167" s="30" t="str"/>
      <x:c r="J167" s="30" t="str"/>
      <x:c r="K167" s="27" t="str">
        <x:v>Content</x:v>
      </x:c>
      <x:c r="L167" s="27" t="str">
        <x:v>​5.13</x:v>
      </x:c>
      <x:c r="M167" s="28" t="n">
        <x:f>IF(OR(E167="",F167=""),"",F167-E167+1)</x:f>
        <x:v>1</x:v>
      </x:c>
      <x:c r="N167" s="29" t="str"/>
      <x:c r="O167" s="27" t="str"/>
      <x:c r="P167" s="20" t="str">
        <x:f>IF(AND(G167&lt;&gt;"Not Needed",G167&lt;&gt;"Complete",OR(G167="Blocked",G167="At Risk",G167="In Progress",H167="Late",H167="Due Soon")),COUNT($P$6:P166)+1,"")</x:f>
      </x:c>
    </x:row>
    <x:row r="168" ht="24" customHeight="1">
      <x:c r="A168" s="21" t="str">
        <x:v>​12.6</x:v>
      </x:c>
      <x:c r="B168" s="24" t="str">
        <x:v>Marketing &amp; Communications</x:v>
      </x:c>
      <x:c r="C168" s="24" t="str">
        <x:v>Create mobile promotional content</x:v>
      </x:c>
      <x:c r="D168" s="24" t="str">
        <x:v>Marketing</x:v>
      </x:c>
      <x:c r="E168" s="25" t="n">
        <x:v>9</x:v>
      </x:c>
      <x:c r="F168" s="25" t="n">
        <x:v>9</x:v>
      </x:c>
      <x:c r="G168" s="26" t="str">
        <x:v>Not Started</x:v>
      </x:c>
      <x:c r="H168" s="26" t="str">
        <x:f>IF(G168="Not Needed","Not Needed",IF(G168="Complete","Complete",IF(G168="Blocked","Blocked",IF(G168="At Risk","At Risk",IF(OR(E168="",F168=""),"Schedule TBD",IF(F168&lt;'Overview'!$B$8,"Late",IF(E168&lt;='Overview'!$B$8+2,"Due Soon","On Track")))))))</x:f>
        <x:v>On Track</x:v>
      </x:c>
      <x:c r="I168" s="30" t="str"/>
      <x:c r="J168" s="30" t="str"/>
      <x:c r="K168" s="27" t="str">
        <x:v>Content</x:v>
      </x:c>
      <x:c r="L168" s="27" t="str">
        <x:v>​5.13</x:v>
      </x:c>
      <x:c r="M168" s="28" t="n">
        <x:f>IF(OR(E168="",F168=""),"",F168-E168+1)</x:f>
        <x:v>1</x:v>
      </x:c>
      <x:c r="N168" s="29" t="str"/>
      <x:c r="O168" s="27" t="str"/>
      <x:c r="P168" s="20" t="str">
        <x:f>IF(AND(G168&lt;&gt;"Not Needed",G168&lt;&gt;"Complete",OR(G168="Blocked",G168="At Risk",G168="In Progress",H168="Late",H168="Due Soon")),COUNT($P$6:P167)+1,"")</x:f>
      </x:c>
    </x:row>
    <x:row r="169" ht="24" customHeight="1">
      <x:c r="A169" s="21" t="str">
        <x:v>​12.7</x:v>
      </x:c>
      <x:c r="B169" s="24" t="str">
        <x:v>Marketing &amp; Communications</x:v>
      </x:c>
      <x:c r="C169" s="24" t="str">
        <x:v>Create email campaign</x:v>
      </x:c>
      <x:c r="D169" s="24" t="str">
        <x:v>Marketing</x:v>
      </x:c>
      <x:c r="E169" s="25" t="n">
        <x:v>10</x:v>
      </x:c>
      <x:c r="F169" s="25" t="n">
        <x:v>10</x:v>
      </x:c>
      <x:c r="G169" s="26" t="str">
        <x:v>Not Started</x:v>
      </x:c>
      <x:c r="H169" s="26" t="str">
        <x:f>IF(G169="Not Needed","Not Needed",IF(G169="Complete","Complete",IF(G169="Blocked","Blocked",IF(G169="At Risk","At Risk",IF(OR(E169="",F169=""),"Schedule TBD",IF(F169&lt;'Overview'!$B$8,"Late",IF(E169&lt;='Overview'!$B$8+2,"Due Soon","On Track")))))))</x:f>
        <x:v>On Track</x:v>
      </x:c>
      <x:c r="I169" s="30" t="str"/>
      <x:c r="J169" s="30" t="str"/>
      <x:c r="K169" s="27" t="str"/>
      <x:c r="L169" s="27" t="str">
        <x:v>​12.1</x:v>
      </x:c>
      <x:c r="M169" s="28" t="n">
        <x:f>IF(OR(E169="",F169=""),"",F169-E169+1)</x:f>
        <x:v>1</x:v>
      </x:c>
      <x:c r="N169" s="29" t="str"/>
      <x:c r="O169" s="27" t="str"/>
      <x:c r="P169" s="20" t="str">
        <x:f>IF(AND(G169&lt;&gt;"Not Needed",G169&lt;&gt;"Complete",OR(G169="Blocked",G169="At Risk",G169="In Progress",H169="Late",H169="Due Soon")),COUNT($P$6:P168)+1,"")</x:f>
      </x:c>
    </x:row>
    <x:row r="170" ht="24" customHeight="1">
      <x:c r="A170" s="21" t="str">
        <x:v>​12.8</x:v>
      </x:c>
      <x:c r="B170" s="24" t="str">
        <x:v>Marketing &amp; Communications</x:v>
      </x:c>
      <x:c r="C170" s="24" t="str">
        <x:v>Create website/intranet content</x:v>
      </x:c>
      <x:c r="D170" s="24" t="str">
        <x:v>Marketing</x:v>
      </x:c>
      <x:c r="E170" s="25" t="n">
        <x:v>10</x:v>
      </x:c>
      <x:c r="F170" s="25" t="n">
        <x:v>10</x:v>
      </x:c>
      <x:c r="G170" s="26" t="str">
        <x:v>Not Started</x:v>
      </x:c>
      <x:c r="H170" s="26" t="str">
        <x:f>IF(G170="Not Needed","Not Needed",IF(G170="Complete","Complete",IF(G170="Blocked","Blocked",IF(G170="At Risk","At Risk",IF(OR(E170="",F170=""),"Schedule TBD",IF(F170&lt;'Overview'!$B$8,"Late",IF(E170&lt;='Overview'!$B$8+2,"Due Soon","On Track")))))))</x:f>
        <x:v>On Track</x:v>
      </x:c>
      <x:c r="I170" s="30" t="str"/>
      <x:c r="J170" s="30" t="str"/>
      <x:c r="K170" s="27" t="str"/>
      <x:c r="L170" s="27" t="str">
        <x:v>​12.1</x:v>
      </x:c>
      <x:c r="M170" s="28" t="n">
        <x:f>IF(OR(E170="",F170=""),"",F170-E170+1)</x:f>
        <x:v>1</x:v>
      </x:c>
      <x:c r="N170" s="29" t="str"/>
      <x:c r="O170" s="27" t="str"/>
      <x:c r="P170" s="20" t="str">
        <x:f>IF(AND(G170&lt;&gt;"Not Needed",G170&lt;&gt;"Complete",OR(G170="Blocked",G170="At Risk",G170="In Progress",H170="Late",H170="Due Soon")),COUNT($P$6:P169)+1,"")</x:f>
      </x:c>
    </x:row>
    <x:row r="171" ht="24" customHeight="1">
      <x:c r="A171" s="21" t="str">
        <x:v>​12.9</x:v>
      </x:c>
      <x:c r="B171" s="24" t="str">
        <x:v>Marketing &amp; Communications</x:v>
      </x:c>
      <x:c r="C171" s="24" t="str">
        <x:v>Create employee communications</x:v>
      </x:c>
      <x:c r="D171" s="24" t="str">
        <x:v>Internal Comms</x:v>
      </x:c>
      <x:c r="E171" s="25" t="n">
        <x:v>10</x:v>
      </x:c>
      <x:c r="F171" s="25" t="n">
        <x:v>10</x:v>
      </x:c>
      <x:c r="G171" s="26" t="str">
        <x:v>Not Started</x:v>
      </x:c>
      <x:c r="H171" s="26" t="str">
        <x:f>IF(G171="Not Needed","Not Needed",IF(G171="Complete","Complete",IF(G171="Blocked","Blocked",IF(G171="At Risk","At Risk",IF(OR(E171="",F171=""),"Schedule TBD",IF(F171&lt;'Overview'!$B$8,"Late",IF(E171&lt;='Overview'!$B$8+2,"Due Soon","On Track")))))))</x:f>
        <x:v>On Track</x:v>
      </x:c>
      <x:c r="I171" s="30" t="str"/>
      <x:c r="J171" s="30" t="str"/>
      <x:c r="K171" s="27" t="str"/>
      <x:c r="L171" s="27" t="str">
        <x:v>​12.1</x:v>
      </x:c>
      <x:c r="M171" s="28" t="n">
        <x:f>IF(OR(E171="",F171=""),"",F171-E171+1)</x:f>
        <x:v>1</x:v>
      </x:c>
      <x:c r="N171" s="29" t="str"/>
      <x:c r="O171" s="27" t="str"/>
      <x:c r="P171" s="20" t="str">
        <x:f>IF(AND(G171&lt;&gt;"Not Needed",G171&lt;&gt;"Complete",OR(G171="Blocked",G171="At Risk",G171="In Progress",H171="Late",H171="Due Soon")),COUNT($P$6:P170)+1,"")</x:f>
      </x:c>
    </x:row>
    <x:row r="172" ht="24" customHeight="1">
      <x:c r="A172" s="21" t="str">
        <x:v>​12.10</x:v>
      </x:c>
      <x:c r="B172" s="24" t="str">
        <x:v>Marketing &amp; Communications</x:v>
      </x:c>
      <x:c r="C172" s="24" t="str">
        <x:v>Compliance review</x:v>
      </x:c>
      <x:c r="D172" s="24" t="str">
        <x:v>Compliance</x:v>
      </x:c>
      <x:c r="E172" s="25" t="n">
        <x:v>11</x:v>
      </x:c>
      <x:c r="F172" s="25" t="n">
        <x:v>11</x:v>
      </x:c>
      <x:c r="G172" s="26" t="str">
        <x:v>Not Started</x:v>
      </x:c>
      <x:c r="H172" s="26" t="str">
        <x:f>IF(G172="Not Needed","Not Needed",IF(G172="Complete","Complete",IF(G172="Blocked","Blocked",IF(G172="At Risk","At Risk",IF(OR(E172="",F172=""),"Schedule TBD",IF(F172&lt;'Overview'!$B$8,"Late",IF(E172&lt;='Overview'!$B$8+2,"Due Soon","On Track")))))))</x:f>
        <x:v>On Track</x:v>
      </x:c>
      <x:c r="I172" s="30" t="str"/>
      <x:c r="J172" s="30" t="str"/>
      <x:c r="K172" s="27" t="str"/>
      <x:c r="L172" s="27" t="str">
        <x:v>​12.5–12.9</x:v>
      </x:c>
      <x:c r="M172" s="28" t="n">
        <x:f>IF(OR(E172="",F172=""),"",F172-E172+1)</x:f>
        <x:v>1</x:v>
      </x:c>
      <x:c r="N172" s="29" t="str"/>
      <x:c r="O172" s="27" t="str"/>
      <x:c r="P172" s="20" t="str">
        <x:f>IF(AND(G172&lt;&gt;"Not Needed",G172&lt;&gt;"Complete",OR(G172="Blocked",G172="At Risk",G172="In Progress",H172="Late",H172="Due Soon")),COUNT($P$6:P171)+1,"")</x:f>
      </x:c>
    </x:row>
    <x:row r="173" ht="24" customHeight="1">
      <x:c r="A173" s="21" t="str">
        <x:v>​12.11</x:v>
      </x:c>
      <x:c r="B173" s="24" t="str">
        <x:v>Marketing &amp; Communications</x:v>
      </x:c>
      <x:c r="C173" s="24" t="str">
        <x:v>Revise materials</x:v>
      </x:c>
      <x:c r="D173" s="24" t="str">
        <x:v>Marketing</x:v>
      </x:c>
      <x:c r="E173" s="25" t="n">
        <x:v>11</x:v>
      </x:c>
      <x:c r="F173" s="25" t="n">
        <x:v>11</x:v>
      </x:c>
      <x:c r="G173" s="26" t="str">
        <x:v>Not Started</x:v>
      </x:c>
      <x:c r="H173" s="26" t="str">
        <x:f>IF(G173="Not Needed","Not Needed",IF(G173="Complete","Complete",IF(G173="Blocked","Blocked",IF(G173="At Risk","At Risk",IF(OR(E173="",F173=""),"Schedule TBD",IF(F173&lt;'Overview'!$B$8,"Late",IF(E173&lt;='Overview'!$B$8+2,"Due Soon","On Track")))))))</x:f>
        <x:v>On Track</x:v>
      </x:c>
      <x:c r="I173" s="30" t="str"/>
      <x:c r="J173" s="30" t="str"/>
      <x:c r="K173" s="27" t="str"/>
      <x:c r="L173" s="27" t="str">
        <x:v>​12.10</x:v>
      </x:c>
      <x:c r="M173" s="28" t="n">
        <x:f>IF(OR(E173="",F173=""),"",F173-E173+1)</x:f>
        <x:v>1</x:v>
      </x:c>
      <x:c r="N173" s="29" t="str"/>
      <x:c r="O173" s="27" t="str"/>
      <x:c r="P173" s="20" t="str">
        <x:f>IF(AND(G173&lt;&gt;"Not Needed",G173&lt;&gt;"Complete",OR(G173="Blocked",G173="At Risk",G173="In Progress",H173="Late",H173="Due Soon")),COUNT($P$6:P172)+1,"")</x:f>
      </x:c>
    </x:row>
    <x:row r="174" ht="24" customHeight="1">
      <x:c r="A174" s="21" t="str">
        <x:v>​12.12</x:v>
      </x:c>
      <x:c r="B174" s="24" t="str">
        <x:v>Marketing &amp; Communications</x:v>
      </x:c>
      <x:c r="C174" s="24" t="str">
        <x:v>Final marketing approval</x:v>
      </x:c>
      <x:c r="D174" s="24" t="str">
        <x:v>Marketing</x:v>
      </x:c>
      <x:c r="E174" s="25" t="n">
        <x:v>12</x:v>
      </x:c>
      <x:c r="F174" s="25" t="n">
        <x:v>12</x:v>
      </x:c>
      <x:c r="G174" s="26" t="str">
        <x:v>Not Started</x:v>
      </x:c>
      <x:c r="H174" s="26" t="str">
        <x:f>IF(G174="Not Needed","Not Needed",IF(G174="Complete","Complete",IF(G174="Blocked","Blocked",IF(G174="At Risk","At Risk",IF(OR(E174="",F174=""),"Schedule TBD",IF(F174&lt;'Overview'!$B$8,"Late",IF(E174&lt;='Overview'!$B$8+2,"Due Soon","On Track")))))))</x:f>
        <x:v>On Track</x:v>
      </x:c>
      <x:c r="I174" s="30" t="str"/>
      <x:c r="J174" s="30" t="str"/>
      <x:c r="K174" s="27" t="str">
        <x:v>Compliance</x:v>
      </x:c>
      <x:c r="L174" s="27" t="str">
        <x:v>​12.11</x:v>
      </x:c>
      <x:c r="M174" s="28" t="n">
        <x:f>IF(OR(E174="",F174=""),"",F174-E174+1)</x:f>
        <x:v>1</x:v>
      </x:c>
      <x:c r="N174" s="29" t="str">
        <x:v>Milestone</x:v>
      </x:c>
      <x:c r="O174" s="27" t="str"/>
      <x:c r="P174" s="20" t="str">
        <x:f>IF(AND(G174&lt;&gt;"Not Needed",G174&lt;&gt;"Complete",OR(G174="Blocked",G174="At Risk",G174="In Progress",H174="Late",H174="Due Soon")),COUNT($P$6:P173)+1,"")</x:f>
      </x:c>
    </x:row>
    <x:row r="175" ht="24" customHeight="1">
      <x:c r="A175" s="21" t="str">
        <x:v>​12.13</x:v>
      </x:c>
      <x:c r="B175" s="24" t="str">
        <x:v>Marketing &amp; Communications</x:v>
      </x:c>
      <x:c r="C175" s="24" t="str">
        <x:v>Schedule launch communications</x:v>
      </x:c>
      <x:c r="D175" s="24" t="str">
        <x:v>Marketing</x:v>
      </x:c>
      <x:c r="E175" s="25" t="n">
        <x:v>13</x:v>
      </x:c>
      <x:c r="F175" s="25" t="n">
        <x:v>13</x:v>
      </x:c>
      <x:c r="G175" s="26" t="str">
        <x:v>Not Started</x:v>
      </x:c>
      <x:c r="H175" s="26" t="str">
        <x:f>IF(G175="Not Needed","Not Needed",IF(G175="Complete","Complete",IF(G175="Blocked","Blocked",IF(G175="At Risk","At Risk",IF(OR(E175="",F175=""),"Schedule TBD",IF(F175&lt;'Overview'!$B$8,"Late",IF(E175&lt;='Overview'!$B$8+2,"Due Soon","On Track")))))))</x:f>
        <x:v>On Track</x:v>
      </x:c>
      <x:c r="I175" s="30" t="str"/>
      <x:c r="J175" s="30" t="str"/>
      <x:c r="K175" s="27" t="str"/>
      <x:c r="L175" s="27" t="str">
        <x:v>​12.12</x:v>
      </x:c>
      <x:c r="M175" s="28" t="n">
        <x:f>IF(OR(E175="",F175=""),"",F175-E175+1)</x:f>
        <x:v>1</x:v>
      </x:c>
      <x:c r="N175" s="29" t="str"/>
      <x:c r="O175" s="27" t="str"/>
      <x:c r="P175" s="20" t="str">
        <x:f>IF(AND(G175&lt;&gt;"Not Needed",G175&lt;&gt;"Complete",OR(G175="Blocked",G175="At Risk",G175="In Progress",H175="Late",H175="Due Soon")),COUNT($P$6:P174)+1,"")</x:f>
      </x:c>
    </x:row>
    <x:row r="176" ht="24" customHeight="1">
      <x:c r="A176" s="21" t="str">
        <x:v>​13.1</x:v>
      </x:c>
      <x:c r="B176" s="24" t="str">
        <x:v>Analytics &amp; Measurement</x:v>
      </x:c>
      <x:c r="C176" s="24" t="str">
        <x:v>Define measurement framework</x:v>
      </x:c>
      <x:c r="D176" s="24" t="str">
        <x:v>Product</x:v>
      </x:c>
      <x:c r="E176" s="25" t="n">
        <x:v>6</x:v>
      </x:c>
      <x:c r="F176" s="25" t="n">
        <x:v>6</x:v>
      </x:c>
      <x:c r="G176" s="26" t="str">
        <x:v>Not Started</x:v>
      </x:c>
      <x:c r="H176" s="26" t="str">
        <x:f>IF(G176="Not Needed","Not Needed",IF(G176="Complete","Complete",IF(G176="Blocked","Blocked",IF(G176="At Risk","At Risk",IF(OR(E176="",F176=""),"Schedule TBD",IF(F176&lt;'Overview'!$B$8,"Late",IF(E176&lt;='Overview'!$B$8+2,"Due Soon","On Track")))))))</x:f>
        <x:v>On Track</x:v>
      </x:c>
      <x:c r="I176" s="30" t="str"/>
      <x:c r="J176" s="30" t="str"/>
      <x:c r="K176" s="27" t="str">
        <x:v>Data</x:v>
      </x:c>
      <x:c r="L176" s="27" t="str">
        <x:v>​2.12</x:v>
      </x:c>
      <x:c r="M176" s="28" t="n">
        <x:f>IF(OR(E176="",F176=""),"",F176-E176+1)</x:f>
        <x:v>1</x:v>
      </x:c>
      <x:c r="N176" s="29" t="str"/>
      <x:c r="O176" s="27" t="str"/>
      <x:c r="P176" s="20" t="str">
        <x:f>IF(AND(G176&lt;&gt;"Not Needed",G176&lt;&gt;"Complete",OR(G176="Blocked",G176="At Risk",G176="In Progress",H176="Late",H176="Due Soon")),COUNT($P$6:P175)+1,"")</x:f>
      </x:c>
    </x:row>
    <x:row r="177" ht="24" customHeight="1">
      <x:c r="A177" s="21" t="str">
        <x:v>​13.2</x:v>
      </x:c>
      <x:c r="B177" s="24" t="str">
        <x:v>Analytics &amp; Measurement</x:v>
      </x:c>
      <x:c r="C177" s="24" t="str">
        <x:v>Define enrollment metric</x:v>
      </x:c>
      <x:c r="D177" s="24" t="str">
        <x:v>Data</x:v>
      </x:c>
      <x:c r="E177" s="25" t="n">
        <x:v>6</x:v>
      </x:c>
      <x:c r="F177" s="25" t="n">
        <x:v>6</x:v>
      </x:c>
      <x:c r="G177" s="26" t="str">
        <x:v>Not Started</x:v>
      </x:c>
      <x:c r="H177" s="26" t="str">
        <x:f>IF(G177="Not Needed","Not Needed",IF(G177="Complete","Complete",IF(G177="Blocked","Blocked",IF(G177="At Risk","At Risk",IF(OR(E177="",F177=""),"Schedule TBD",IF(F177&lt;'Overview'!$B$8,"Late",IF(E177&lt;='Overview'!$B$8+2,"Due Soon","On Track")))))))</x:f>
        <x:v>On Track</x:v>
      </x:c>
      <x:c r="I177" s="30" t="str"/>
      <x:c r="J177" s="30" t="str"/>
      <x:c r="K177" s="27" t="str"/>
      <x:c r="L177" s="27" t="str">
        <x:v>​13.1</x:v>
      </x:c>
      <x:c r="M177" s="28" t="n">
        <x:f>IF(OR(E177="",F177=""),"",F177-E177+1)</x:f>
        <x:v>1</x:v>
      </x:c>
      <x:c r="N177" s="29" t="str"/>
      <x:c r="O177" s="27" t="str"/>
      <x:c r="P177" s="20" t="str">
        <x:f>IF(AND(G177&lt;&gt;"Not Needed",G177&lt;&gt;"Complete",OR(G177="Blocked",G177="At Risk",G177="In Progress",H177="Late",H177="Due Soon")),COUNT($P$6:P176)+1,"")</x:f>
      </x:c>
    </x:row>
    <x:row r="178" ht="24" customHeight="1">
      <x:c r="A178" s="21" t="str">
        <x:v>​13.3</x:v>
      </x:c>
      <x:c r="B178" s="24" t="str">
        <x:v>Analytics &amp; Measurement</x:v>
      </x:c>
      <x:c r="C178" s="24" t="str">
        <x:v>Define active usage metric</x:v>
      </x:c>
      <x:c r="D178" s="24" t="str">
        <x:v>Data</x:v>
      </x:c>
      <x:c r="E178" s="25" t="n">
        <x:v>6</x:v>
      </x:c>
      <x:c r="F178" s="25" t="n">
        <x:v>6</x:v>
      </x:c>
      <x:c r="G178" s="26" t="str">
        <x:v>Not Started</x:v>
      </x:c>
      <x:c r="H178" s="26" t="str">
        <x:f>IF(G178="Not Needed","Not Needed",IF(G178="Complete","Complete",IF(G178="Blocked","Blocked",IF(G178="At Risk","At Risk",IF(OR(E178="",F178=""),"Schedule TBD",IF(F178&lt;'Overview'!$B$8,"Late",IF(E178&lt;='Overview'!$B$8+2,"Due Soon","On Track")))))))</x:f>
        <x:v>On Track</x:v>
      </x:c>
      <x:c r="I178" s="30" t="str"/>
      <x:c r="J178" s="30" t="str"/>
      <x:c r="K178" s="27" t="str"/>
      <x:c r="L178" s="27" t="str">
        <x:v>​13.1</x:v>
      </x:c>
      <x:c r="M178" s="28" t="n">
        <x:f>IF(OR(E178="",F178=""),"",F178-E178+1)</x:f>
        <x:v>1</x:v>
      </x:c>
      <x:c r="N178" s="29" t="str"/>
      <x:c r="O178" s="27" t="str"/>
      <x:c r="P178" s="20" t="str">
        <x:f>IF(AND(G178&lt;&gt;"Not Needed",G178&lt;&gt;"Complete",OR(G178="Blocked",G178="At Risk",G178="In Progress",H178="Late",H178="Due Soon")),COUNT($P$6:P177)+1,"")</x:f>
      </x:c>
    </x:row>
    <x:row r="179" ht="24" customHeight="1">
      <x:c r="A179" s="21" t="str">
        <x:v>​13.4</x:v>
      </x:c>
      <x:c r="B179" s="24" t="str">
        <x:v>Analytics &amp; Measurement</x:v>
      </x:c>
      <x:c r="C179" s="24" t="str">
        <x:v>Define navigation click-through</x:v>
      </x:c>
      <x:c r="D179" s="24" t="str">
        <x:v>Data</x:v>
      </x:c>
      <x:c r="E179" s="25" t="n">
        <x:v>6</x:v>
      </x:c>
      <x:c r="F179" s="25" t="n">
        <x:v>6</x:v>
      </x:c>
      <x:c r="G179" s="26" t="str">
        <x:v>Not Started</x:v>
      </x:c>
      <x:c r="H179" s="26" t="str">
        <x:f>IF(G179="Not Needed","Not Needed",IF(G179="Complete","Complete",IF(G179="Blocked","Blocked",IF(G179="At Risk","At Risk",IF(OR(E179="",F179=""),"Schedule TBD",IF(F179&lt;'Overview'!$B$8,"Late",IF(E179&lt;='Overview'!$B$8+2,"Due Soon","On Track")))))))</x:f>
        <x:v>On Track</x:v>
      </x:c>
      <x:c r="I179" s="30" t="str"/>
      <x:c r="J179" s="30" t="str"/>
      <x:c r="K179" s="27" t="str"/>
      <x:c r="L179" s="27" t="str">
        <x:v>​13.1</x:v>
      </x:c>
      <x:c r="M179" s="28" t="n">
        <x:f>IF(OR(E179="",F179=""),"",F179-E179+1)</x:f>
        <x:v>1</x:v>
      </x:c>
      <x:c r="N179" s="29" t="str"/>
      <x:c r="O179" s="27" t="str"/>
      <x:c r="P179" s="20" t="str">
        <x:f>IF(AND(G179&lt;&gt;"Not Needed",G179&lt;&gt;"Complete",OR(G179="Blocked",G179="At Risk",G179="In Progress",H179="Late",H179="Due Soon")),COUNT($P$6:P178)+1,"")</x:f>
      </x:c>
    </x:row>
    <x:row r="180" ht="24" customHeight="1">
      <x:c r="A180" s="21" t="str">
        <x:v>​13.5</x:v>
      </x:c>
      <x:c r="B180" s="24" t="str">
        <x:v>Analytics &amp; Measurement</x:v>
      </x:c>
      <x:c r="C180" s="24" t="str">
        <x:v>Define SSO failure metric</x:v>
      </x:c>
      <x:c r="D180" s="24" t="str">
        <x:v>Data</x:v>
      </x:c>
      <x:c r="E180" s="25" t="n">
        <x:v>6</x:v>
      </x:c>
      <x:c r="F180" s="25" t="n">
        <x:v>6</x:v>
      </x:c>
      <x:c r="G180" s="26" t="str">
        <x:v>Not Started</x:v>
      </x:c>
      <x:c r="H180" s="26" t="str">
        <x:f>IF(G180="Not Needed","Not Needed",IF(G180="Complete","Complete",IF(G180="Blocked","Blocked",IF(G180="At Risk","At Risk",IF(OR(E180="",F180=""),"Schedule TBD",IF(F180&lt;'Overview'!$B$8,"Late",IF(E180&lt;='Overview'!$B$8+2,"Due Soon","On Track")))))))</x:f>
        <x:v>On Track</x:v>
      </x:c>
      <x:c r="I180" s="30" t="str"/>
      <x:c r="J180" s="30" t="str"/>
      <x:c r="K180" s="27" t="str">
        <x:v>Tech</x:v>
      </x:c>
      <x:c r="L180" s="27" t="str">
        <x:v>​13.1</x:v>
      </x:c>
      <x:c r="M180" s="28" t="n">
        <x:f>IF(OR(E180="",F180=""),"",F180-E180+1)</x:f>
        <x:v>1</x:v>
      </x:c>
      <x:c r="N180" s="29" t="str"/>
      <x:c r="O180" s="27" t="str"/>
      <x:c r="P180" s="20" t="str">
        <x:f>IF(AND(G180&lt;&gt;"Not Needed",G180&lt;&gt;"Complete",OR(G180="Blocked",G180="At Risk",G180="In Progress",H180="Late",H180="Due Soon")),COUNT($P$6:P179)+1,"")</x:f>
      </x:c>
    </x:row>
    <x:row r="181" ht="24" customHeight="1">
      <x:c r="A181" s="21" t="str">
        <x:v>​13.6</x:v>
      </x:c>
      <x:c r="B181" s="24" t="str">
        <x:v>Analytics &amp; Measurement</x:v>
      </x:c>
      <x:c r="C181" s="24" t="str">
        <x:v>Define support-contact metric</x:v>
      </x:c>
      <x:c r="D181" s="24" t="str">
        <x:v>Ops</x:v>
      </x:c>
      <x:c r="E181" s="25" t="n">
        <x:v>7</x:v>
      </x:c>
      <x:c r="F181" s="25" t="n">
        <x:v>7</x:v>
      </x:c>
      <x:c r="G181" s="26" t="str">
        <x:v>Not Started</x:v>
      </x:c>
      <x:c r="H181" s="26" t="str">
        <x:f>IF(G181="Not Needed","Not Needed",IF(G181="Complete","Complete",IF(G181="Blocked","Blocked",IF(G181="At Risk","At Risk",IF(OR(E181="",F181=""),"Schedule TBD",IF(F181&lt;'Overview'!$B$8,"Late",IF(E181&lt;='Overview'!$B$8+2,"Due Soon","On Track")))))))</x:f>
        <x:v>On Track</x:v>
      </x:c>
      <x:c r="I181" s="30" t="str"/>
      <x:c r="J181" s="30" t="str"/>
      <x:c r="K181" s="27" t="str">
        <x:v>Data</x:v>
      </x:c>
      <x:c r="L181" s="27" t="str">
        <x:v>​13.1</x:v>
      </x:c>
      <x:c r="M181" s="28" t="n">
        <x:f>IF(OR(E181="",F181=""),"",F181-E181+1)</x:f>
        <x:v>1</x:v>
      </x:c>
      <x:c r="N181" s="29" t="str"/>
      <x:c r="O181" s="27" t="str"/>
      <x:c r="P181" s="20" t="str">
        <x:f>IF(AND(G181&lt;&gt;"Not Needed",G181&lt;&gt;"Complete",OR(G181="Blocked",G181="At Risk",G181="In Progress",H181="Late",H181="Due Soon")),COUNT($P$6:P180)+1,"")</x:f>
      </x:c>
    </x:row>
    <x:row r="182" ht="24" customHeight="1">
      <x:c r="A182" s="21" t="str">
        <x:v>​13.7</x:v>
      </x:c>
      <x:c r="B182" s="24" t="str">
        <x:v>Analytics &amp; Measurement</x:v>
      </x:c>
      <x:c r="C182" s="24" t="str">
        <x:v>Establish baseline</x:v>
      </x:c>
      <x:c r="D182" s="24" t="str">
        <x:v>Data</x:v>
      </x:c>
      <x:c r="E182" s="25" t="n">
        <x:v>7</x:v>
      </x:c>
      <x:c r="F182" s="25" t="n">
        <x:v>7</x:v>
      </x:c>
      <x:c r="G182" s="26" t="str">
        <x:v>Not Started</x:v>
      </x:c>
      <x:c r="H182" s="26" t="str">
        <x:f>IF(G182="Not Needed","Not Needed",IF(G182="Complete","Complete",IF(G182="Blocked","Blocked",IF(G182="At Risk","At Risk",IF(OR(E182="",F182=""),"Schedule TBD",IF(F182&lt;'Overview'!$B$8,"Late",IF(E182&lt;='Overview'!$B$8+2,"Due Soon","On Track")))))))</x:f>
        <x:v>On Track</x:v>
      </x:c>
      <x:c r="I182" s="30" t="str"/>
      <x:c r="J182" s="30" t="str"/>
      <x:c r="K182" s="27" t="str"/>
      <x:c r="L182" s="27" t="str">
        <x:v>​13.1–13.6</x:v>
      </x:c>
      <x:c r="M182" s="28" t="n">
        <x:f>IF(OR(E182="",F182=""),"",F182-E182+1)</x:f>
        <x:v>1</x:v>
      </x:c>
      <x:c r="N182" s="29" t="str"/>
      <x:c r="O182" s="27" t="str"/>
      <x:c r="P182" s="20" t="str">
        <x:f>IF(AND(G182&lt;&gt;"Not Needed",G182&lt;&gt;"Complete",OR(G182="Blocked",G182="At Risk",G182="In Progress",H182="Late",H182="Due Soon")),COUNT($P$6:P181)+1,"")</x:f>
      </x:c>
    </x:row>
    <x:row r="183" ht="24" customHeight="1">
      <x:c r="A183" s="21" t="str">
        <x:v>​13.8</x:v>
      </x:c>
      <x:c r="B183" s="24" t="str">
        <x:v>Analytics &amp; Measurement</x:v>
      </x:c>
      <x:c r="C183" s="24" t="str">
        <x:v>Implement tracking</x:v>
      </x:c>
      <x:c r="D183" s="24" t="str">
        <x:v>Tech</x:v>
      </x:c>
      <x:c r="E183" s="25" t="n">
        <x:v>8</x:v>
      </x:c>
      <x:c r="F183" s="25" t="n">
        <x:v>8</x:v>
      </x:c>
      <x:c r="G183" s="26" t="str">
        <x:v>Not Started</x:v>
      </x:c>
      <x:c r="H183" s="26" t="str">
        <x:f>IF(G183="Not Needed","Not Needed",IF(G183="Complete","Complete",IF(G183="Blocked","Blocked",IF(G183="At Risk","At Risk",IF(OR(E183="",F183=""),"Schedule TBD",IF(F183&lt;'Overview'!$B$8,"Late",IF(E183&lt;='Overview'!$B$8+2,"Due Soon","On Track")))))))</x:f>
        <x:v>On Track</x:v>
      </x:c>
      <x:c r="I183" s="30" t="str"/>
      <x:c r="J183" s="30" t="str"/>
      <x:c r="K183" s="27" t="str">
        <x:v>Data</x:v>
      </x:c>
      <x:c r="L183" s="27" t="str">
        <x:v>​8.12</x:v>
      </x:c>
      <x:c r="M183" s="28" t="n">
        <x:f>IF(OR(E183="",F183=""),"",F183-E183+1)</x:f>
        <x:v>1</x:v>
      </x:c>
      <x:c r="N183" s="29" t="str"/>
      <x:c r="O183" s="27" t="str"/>
      <x:c r="P183" s="20" t="str">
        <x:f>IF(AND(G183&lt;&gt;"Not Needed",G183&lt;&gt;"Complete",OR(G183="Blocked",G183="At Risk",G183="In Progress",H183="Late",H183="Due Soon")),COUNT($P$6:P182)+1,"")</x:f>
      </x:c>
    </x:row>
    <x:row r="184" ht="24" customHeight="1">
      <x:c r="A184" s="21" t="str">
        <x:v>​13.9</x:v>
      </x:c>
      <x:c r="B184" s="24" t="str">
        <x:v>Analytics &amp; Measurement</x:v>
      </x:c>
      <x:c r="C184" s="24" t="str">
        <x:v>Validate tracking in test</x:v>
      </x:c>
      <x:c r="D184" s="24" t="str">
        <x:v>QA</x:v>
      </x:c>
      <x:c r="E184" s="25" t="n">
        <x:v>9</x:v>
      </x:c>
      <x:c r="F184" s="25" t="n">
        <x:v>9</x:v>
      </x:c>
      <x:c r="G184" s="26" t="str">
        <x:v>Not Started</x:v>
      </x:c>
      <x:c r="H184" s="26" t="str">
        <x:f>IF(G184="Not Needed","Not Needed",IF(G184="Complete","Complete",IF(G184="Blocked","Blocked",IF(G184="At Risk","At Risk",IF(OR(E184="",F184=""),"Schedule TBD",IF(F184&lt;'Overview'!$B$8,"Late",IF(E184&lt;='Overview'!$B$8+2,"Due Soon","On Track")))))))</x:f>
        <x:v>On Track</x:v>
      </x:c>
      <x:c r="I184" s="30" t="str"/>
      <x:c r="J184" s="30" t="str"/>
      <x:c r="K184" s="27" t="str">
        <x:v>Data</x:v>
      </x:c>
      <x:c r="L184" s="27" t="str">
        <x:v>​9.15</x:v>
      </x:c>
      <x:c r="M184" s="28" t="n">
        <x:f>IF(OR(E184="",F184=""),"",F184-E184+1)</x:f>
        <x:v>1</x:v>
      </x:c>
      <x:c r="N184" s="29" t="str"/>
      <x:c r="O184" s="27" t="str"/>
      <x:c r="P184" s="20" t="str">
        <x:f>IF(AND(G184&lt;&gt;"Not Needed",G184&lt;&gt;"Complete",OR(G184="Blocked",G184="At Risk",G184="In Progress",H184="Late",H184="Due Soon")),COUNT($P$6:P183)+1,"")</x:f>
      </x:c>
    </x:row>
    <x:row r="185" ht="24" customHeight="1">
      <x:c r="A185" s="21" t="str">
        <x:v>​13.10</x:v>
      </x:c>
      <x:c r="B185" s="24" t="str">
        <x:v>Analytics &amp; Measurement</x:v>
      </x:c>
      <x:c r="C185" s="24" t="str">
        <x:v>Build launch dashboard</x:v>
      </x:c>
      <x:c r="D185" s="24" t="str">
        <x:v>Data</x:v>
      </x:c>
      <x:c r="E185" s="25" t="n">
        <x:v>11</x:v>
      </x:c>
      <x:c r="F185" s="25" t="n">
        <x:v>11</x:v>
      </x:c>
      <x:c r="G185" s="26" t="str">
        <x:v>Not Started</x:v>
      </x:c>
      <x:c r="H185" s="26" t="str">
        <x:f>IF(G185="Not Needed","Not Needed",IF(G185="Complete","Complete",IF(G185="Blocked","Blocked",IF(G185="At Risk","At Risk",IF(OR(E185="",F185=""),"Schedule TBD",IF(F185&lt;'Overview'!$B$8,"Late",IF(E185&lt;='Overview'!$B$8+2,"Due Soon","On Track")))))))</x:f>
        <x:v>On Track</x:v>
      </x:c>
      <x:c r="I185" s="30" t="str"/>
      <x:c r="J185" s="30" t="str"/>
      <x:c r="K185" s="27" t="str"/>
      <x:c r="L185" s="27" t="str">
        <x:v>​13.8</x:v>
      </x:c>
      <x:c r="M185" s="28" t="n">
        <x:f>IF(OR(E185="",F185=""),"",F185-E185+1)</x:f>
        <x:v>1</x:v>
      </x:c>
      <x:c r="N185" s="29" t="str"/>
      <x:c r="O185" s="27" t="str"/>
      <x:c r="P185" s="20" t="str">
        <x:f>IF(AND(G185&lt;&gt;"Not Needed",G185&lt;&gt;"Complete",OR(G185="Blocked",G185="At Risk",G185="In Progress",H185="Late",H185="Due Soon")),COUNT($P$6:P184)+1,"")</x:f>
      </x:c>
    </x:row>
    <x:row r="186" ht="24" customHeight="1">
      <x:c r="A186" s="21" t="str">
        <x:v>​13.11</x:v>
      </x:c>
      <x:c r="B186" s="24" t="str">
        <x:v>Analytics &amp; Measurement</x:v>
      </x:c>
      <x:c r="C186" s="24" t="str">
        <x:v>Define launch reporting cadence</x:v>
      </x:c>
      <x:c r="D186" s="24" t="str">
        <x:v>Product</x:v>
      </x:c>
      <x:c r="E186" s="25" t="n">
        <x:v>12</x:v>
      </x:c>
      <x:c r="F186" s="25" t="n">
        <x:v>12</x:v>
      </x:c>
      <x:c r="G186" s="26" t="str">
        <x:v>Not Started</x:v>
      </x:c>
      <x:c r="H186" s="26" t="str">
        <x:f>IF(G186="Not Needed","Not Needed",IF(G186="Complete","Complete",IF(G186="Blocked","Blocked",IF(G186="At Risk","At Risk",IF(OR(E186="",F186=""),"Schedule TBD",IF(F186&lt;'Overview'!$B$8,"Late",IF(E186&lt;='Overview'!$B$8+2,"Due Soon","On Track")))))))</x:f>
        <x:v>On Track</x:v>
      </x:c>
      <x:c r="I186" s="30" t="str"/>
      <x:c r="J186" s="30" t="str"/>
      <x:c r="K186" s="27" t="str">
        <x:v>Data</x:v>
      </x:c>
      <x:c r="L186" s="27" t="str">
        <x:v>​13.10</x:v>
      </x:c>
      <x:c r="M186" s="28" t="n">
        <x:f>IF(OR(E186="",F186=""),"",F186-E186+1)</x:f>
        <x:v>1</x:v>
      </x:c>
      <x:c r="N186" s="29" t="str"/>
      <x:c r="O186" s="27" t="str"/>
      <x:c r="P186" s="20" t="str">
        <x:f>IF(AND(G186&lt;&gt;"Not Needed",G186&lt;&gt;"Complete",OR(G186="Blocked",G186="At Risk",G186="In Progress",H186="Late",H186="Due Soon")),COUNT($P$6:P185)+1,"")</x:f>
      </x:c>
    </x:row>
    <x:row r="187" ht="24" customHeight="1">
      <x:c r="A187" s="21" t="str">
        <x:v>​14.1</x:v>
      </x:c>
      <x:c r="B187" s="24" t="str">
        <x:v>Production Readiness</x:v>
      </x:c>
      <x:c r="C187" s="24" t="str">
        <x:v>Complete production change request</x:v>
      </x:c>
      <x:c r="D187" s="24" t="str">
        <x:v>Tech</x:v>
      </x:c>
      <x:c r="E187" s="25" t="n">
        <x:v>11</x:v>
      </x:c>
      <x:c r="F187" s="25" t="n">
        <x:v>11</x:v>
      </x:c>
      <x:c r="G187" s="26" t="str">
        <x:v>Not Started</x:v>
      </x:c>
      <x:c r="H187" s="26" t="str">
        <x:f>IF(G187="Not Needed","Not Needed",IF(G187="Complete","Complete",IF(G187="Blocked","Blocked",IF(G187="At Risk","At Risk",IF(OR(E187="",F187=""),"Schedule TBD",IF(F187&lt;'Overview'!$B$8,"Late",IF(E187&lt;='Overview'!$B$8+2,"Due Soon","On Track")))))))</x:f>
        <x:v>On Track</x:v>
      </x:c>
      <x:c r="I187" s="30" t="str"/>
      <x:c r="J187" s="30" t="str"/>
      <x:c r="K187" s="27" t="str">
        <x:v>PM</x:v>
      </x:c>
      <x:c r="L187" s="27" t="str">
        <x:v>​9.19</x:v>
      </x:c>
      <x:c r="M187" s="28" t="n">
        <x:f>IF(OR(E187="",F187=""),"",F187-E187+1)</x:f>
        <x:v>1</x:v>
      </x:c>
      <x:c r="N187" s="29" t="str"/>
      <x:c r="O187" s="27" t="str"/>
      <x:c r="P187" s="20" t="str">
        <x:f>IF(AND(G187&lt;&gt;"Not Needed",G187&lt;&gt;"Complete",OR(G187="Blocked",G187="At Risk",G187="In Progress",H187="Late",H187="Due Soon")),COUNT($P$6:P186)+1,"")</x:f>
      </x:c>
    </x:row>
    <x:row r="188" ht="24" customHeight="1">
      <x:c r="A188" s="21" t="str">
        <x:v>​14.2</x:v>
      </x:c>
      <x:c r="B188" s="24" t="str">
        <x:v>Production Readiness</x:v>
      </x:c>
      <x:c r="C188" s="24" t="str">
        <x:v>Confirm production configuration</x:v>
      </x:c>
      <x:c r="D188" s="24" t="str">
        <x:v>Fiserv</x:v>
      </x:c>
      <x:c r="E188" s="25" t="n">
        <x:v>11</x:v>
      </x:c>
      <x:c r="F188" s="25" t="n">
        <x:v>11</x:v>
      </x:c>
      <x:c r="G188" s="26" t="str">
        <x:v>Not Started</x:v>
      </x:c>
      <x:c r="H188" s="26" t="str">
        <x:f>IF(G188="Not Needed","Not Needed",IF(G188="Complete","Complete",IF(G188="Blocked","Blocked",IF(G188="At Risk","At Risk",IF(OR(E188="",F188=""),"Schedule TBD",IF(F188&lt;'Overview'!$B$8,"Late",IF(E188&lt;='Overview'!$B$8+2,"Due Soon","On Track")))))))</x:f>
        <x:v>On Track</x:v>
      </x:c>
      <x:c r="I188" s="30" t="str"/>
      <x:c r="J188" s="30" t="str"/>
      <x:c r="K188" s="27" t="str">
        <x:v>SavvyMoney</x:v>
      </x:c>
      <x:c r="L188" s="27" t="str">
        <x:v>​8.16</x:v>
      </x:c>
      <x:c r="M188" s="28" t="n">
        <x:f>IF(OR(E188="",F188=""),"",F188-E188+1)</x:f>
        <x:v>1</x:v>
      </x:c>
      <x:c r="N188" s="29" t="str"/>
      <x:c r="O188" s="27" t="str"/>
      <x:c r="P188" s="20" t="str">
        <x:f>IF(AND(G188&lt;&gt;"Not Needed",G188&lt;&gt;"Complete",OR(G188="Blocked",G188="At Risk",G188="In Progress",H188="Late",H188="Due Soon")),COUNT($P$6:P187)+1,"")</x:f>
      </x:c>
    </x:row>
    <x:row r="189" ht="24" customHeight="1">
      <x:c r="A189" s="21" t="str">
        <x:v>​14.3</x:v>
      </x:c>
      <x:c r="B189" s="24" t="str">
        <x:v>Production Readiness</x:v>
      </x:c>
      <x:c r="C189" s="24" t="str">
        <x:v>Confirm production URLs</x:v>
      </x:c>
      <x:c r="D189" s="24" t="str">
        <x:v>Tech</x:v>
      </x:c>
      <x:c r="E189" s="25" t="n">
        <x:v>11</x:v>
      </x:c>
      <x:c r="F189" s="25" t="n">
        <x:v>11</x:v>
      </x:c>
      <x:c r="G189" s="26" t="str">
        <x:v>Not Started</x:v>
      </x:c>
      <x:c r="H189" s="26" t="str">
        <x:f>IF(G189="Not Needed","Not Needed",IF(G189="Complete","Complete",IF(G189="Blocked","Blocked",IF(G189="At Risk","At Risk",IF(OR(E189="",F189=""),"Schedule TBD",IF(F189&lt;'Overview'!$B$8,"Late",IF(E189&lt;='Overview'!$B$8+2,"Due Soon","On Track")))))))</x:f>
        <x:v>On Track</x:v>
      </x:c>
      <x:c r="I189" s="30" t="str"/>
      <x:c r="J189" s="30" t="str"/>
      <x:c r="K189" s="27" t="str"/>
      <x:c r="L189" s="27" t="str">
        <x:v>​14.2</x:v>
      </x:c>
      <x:c r="M189" s="28" t="n">
        <x:f>IF(OR(E189="",F189=""),"",F189-E189+1)</x:f>
        <x:v>1</x:v>
      </x:c>
      <x:c r="N189" s="29" t="str"/>
      <x:c r="O189" s="27" t="str"/>
      <x:c r="P189" s="20" t="str">
        <x:f>IF(AND(G189&lt;&gt;"Not Needed",G189&lt;&gt;"Complete",OR(G189="Blocked",G189="At Risk",G189="In Progress",H189="Late",H189="Due Soon")),COUNT($P$6:P188)+1,"")</x:f>
      </x:c>
    </x:row>
    <x:row r="190" ht="24" customHeight="1">
      <x:c r="A190" s="21" t="str">
        <x:v>​14.4</x:v>
      </x:c>
      <x:c r="B190" s="24" t="str">
        <x:v>Production Readiness</x:v>
      </x:c>
      <x:c r="C190" s="24" t="str">
        <x:v>Confirm production SSO</x:v>
      </x:c>
      <x:c r="D190" s="24" t="str">
        <x:v>Tech</x:v>
      </x:c>
      <x:c r="E190" s="25" t="n">
        <x:v>11</x:v>
      </x:c>
      <x:c r="F190" s="25" t="n">
        <x:v>11</x:v>
      </x:c>
      <x:c r="G190" s="26" t="str">
        <x:v>Not Started</x:v>
      </x:c>
      <x:c r="H190" s="26" t="str">
        <x:f>IF(G190="Not Needed","Not Needed",IF(G190="Complete","Complete",IF(G190="Blocked","Blocked",IF(G190="At Risk","At Risk",IF(OR(E190="",F190=""),"Schedule TBD",IF(F190&lt;'Overview'!$B$8,"Late",IF(E190&lt;='Overview'!$B$8+2,"Due Soon","On Track")))))))</x:f>
        <x:v>On Track</x:v>
      </x:c>
      <x:c r="I190" s="30" t="str"/>
      <x:c r="J190" s="30" t="str"/>
      <x:c r="K190" s="27" t="str">
        <x:v>Vendor</x:v>
      </x:c>
      <x:c r="L190" s="27" t="str">
        <x:v>​14.2</x:v>
      </x:c>
      <x:c r="M190" s="28" t="n">
        <x:f>IF(OR(E190="",F190=""),"",F190-E190+1)</x:f>
        <x:v>1</x:v>
      </x:c>
      <x:c r="N190" s="29" t="str"/>
      <x:c r="O190" s="27" t="str"/>
      <x:c r="P190" s="20" t="str">
        <x:f>IF(AND(G190&lt;&gt;"Not Needed",G190&lt;&gt;"Complete",OR(G190="Blocked",G190="At Risk",G190="In Progress",H190="Late",H190="Due Soon")),COUNT($P$6:P189)+1,"")</x:f>
      </x:c>
    </x:row>
    <x:row r="191" ht="24" customHeight="1">
      <x:c r="A191" s="21" t="str">
        <x:v>​14.5</x:v>
      </x:c>
      <x:c r="B191" s="24" t="str">
        <x:v>Production Readiness</x:v>
      </x:c>
      <x:c r="C191" s="24" t="str">
        <x:v>Confirm production entitlements</x:v>
      </x:c>
      <x:c r="D191" s="24" t="str">
        <x:v>Fiserv</x:v>
      </x:c>
      <x:c r="E191" s="25" t="n">
        <x:v>11</x:v>
      </x:c>
      <x:c r="F191" s="25" t="n">
        <x:v>11</x:v>
      </x:c>
      <x:c r="G191" s="26" t="str">
        <x:v>Not Started</x:v>
      </x:c>
      <x:c r="H191" s="26" t="str">
        <x:f>IF(G191="Not Needed","Not Needed",IF(G191="Complete","Complete",IF(G191="Blocked","Blocked",IF(G191="At Risk","At Risk",IF(OR(E191="",F191=""),"Schedule TBD",IF(F191&lt;'Overview'!$B$8,"Late",IF(E191&lt;='Overview'!$B$8+2,"Due Soon","On Track")))))))</x:f>
        <x:v>On Track</x:v>
      </x:c>
      <x:c r="I191" s="30" t="str"/>
      <x:c r="J191" s="30" t="str"/>
      <x:c r="K191" s="27" t="str"/>
      <x:c r="L191" s="27" t="str">
        <x:v>​14.2</x:v>
      </x:c>
      <x:c r="M191" s="28" t="n">
        <x:f>IF(OR(E191="",F191=""),"",F191-E191+1)</x:f>
        <x:v>1</x:v>
      </x:c>
      <x:c r="N191" s="29" t="str"/>
      <x:c r="O191" s="27" t="str"/>
      <x:c r="P191" s="20" t="str">
        <x:f>IF(AND(G191&lt;&gt;"Not Needed",G191&lt;&gt;"Complete",OR(G191="Blocked",G191="At Risk",G191="In Progress",H191="Late",H191="Due Soon")),COUNT($P$6:P190)+1,"")</x:f>
      </x:c>
    </x:row>
    <x:row r="192" ht="24" customHeight="1">
      <x:c r="A192" s="21" t="str">
        <x:v>​14.6</x:v>
      </x:c>
      <x:c r="B192" s="24" t="str">
        <x:v>Production Readiness</x:v>
      </x:c>
      <x:c r="C192" s="24" t="str">
        <x:v>Confirm production monitoring</x:v>
      </x:c>
      <x:c r="D192" s="24" t="str">
        <x:v>Tech</x:v>
      </x:c>
      <x:c r="E192" s="25" t="n">
        <x:v>12</x:v>
      </x:c>
      <x:c r="F192" s="25" t="n">
        <x:v>12</x:v>
      </x:c>
      <x:c r="G192" s="26" t="str">
        <x:v>Not Started</x:v>
      </x:c>
      <x:c r="H192" s="26" t="str">
        <x:f>IF(G192="Not Needed","Not Needed",IF(G192="Complete","Complete",IF(G192="Blocked","Blocked",IF(G192="At Risk","At Risk",IF(OR(E192="",F192=""),"Schedule TBD",IF(F192&lt;'Overview'!$B$8,"Late",IF(E192&lt;='Overview'!$B$8+2,"Due Soon","On Track")))))))</x:f>
        <x:v>On Track</x:v>
      </x:c>
      <x:c r="I192" s="30" t="str"/>
      <x:c r="J192" s="30" t="str"/>
      <x:c r="K192" s="27" t="str"/>
      <x:c r="L192" s="27" t="str">
        <x:v>​13.10</x:v>
      </x:c>
      <x:c r="M192" s="28" t="n">
        <x:f>IF(OR(E192="",F192=""),"",F192-E192+1)</x:f>
        <x:v>1</x:v>
      </x:c>
      <x:c r="N192" s="29" t="str"/>
      <x:c r="O192" s="27" t="str"/>
      <x:c r="P192" s="20" t="str">
        <x:f>IF(AND(G192&lt;&gt;"Not Needed",G192&lt;&gt;"Complete",OR(G192="Blocked",G192="At Risk",G192="In Progress",H192="Late",H192="Due Soon")),COUNT($P$6:P191)+1,"")</x:f>
      </x:c>
    </x:row>
    <x:row r="193" ht="24" customHeight="1">
      <x:c r="A193" s="21" t="str">
        <x:v>​14.7</x:v>
      </x:c>
      <x:c r="B193" s="24" t="str">
        <x:v>Production Readiness</x:v>
      </x:c>
      <x:c r="C193" s="24" t="str">
        <x:v>Final security approval</x:v>
      </x:c>
      <x:c r="D193" s="24" t="str">
        <x:v>Security</x:v>
      </x:c>
      <x:c r="E193" s="25" t="n">
        <x:v>12</x:v>
      </x:c>
      <x:c r="F193" s="25" t="n">
        <x:v>12</x:v>
      </x:c>
      <x:c r="G193" s="26" t="str">
        <x:v>Not Started</x:v>
      </x:c>
      <x:c r="H193" s="26" t="str">
        <x:f>IF(G193="Not Needed","Not Needed",IF(G193="Complete","Complete",IF(G193="Blocked","Blocked",IF(G193="At Risk","At Risk",IF(OR(E193="",F193=""),"Schedule TBD",IF(F193&lt;'Overview'!$B$8,"Late",IF(E193&lt;='Overview'!$B$8+2,"Due Soon","On Track")))))))</x:f>
        <x:v>On Track</x:v>
      </x:c>
      <x:c r="I193" s="30" t="str"/>
      <x:c r="J193" s="30" t="str"/>
      <x:c r="K193" s="27" t="str"/>
      <x:c r="L193" s="27" t="str">
        <x:v>​7.9</x:v>
      </x:c>
      <x:c r="M193" s="28" t="n">
        <x:f>IF(OR(E193="",F193=""),"",F193-E193+1)</x:f>
        <x:v>1</x:v>
      </x:c>
      <x:c r="N193" s="29" t="str"/>
      <x:c r="O193" s="27" t="str"/>
      <x:c r="P193" s="20" t="str">
        <x:f>IF(AND(G193&lt;&gt;"Not Needed",G193&lt;&gt;"Complete",OR(G193="Blocked",G193="At Risk",G193="In Progress",H193="Late",H193="Due Soon")),COUNT($P$6:P192)+1,"")</x:f>
      </x:c>
    </x:row>
    <x:row r="194" ht="24" customHeight="1">
      <x:c r="A194" s="21" t="str">
        <x:v>​14.8</x:v>
      </x:c>
      <x:c r="B194" s="24" t="str">
        <x:v>Production Readiness</x:v>
      </x:c>
      <x:c r="C194" s="24" t="str">
        <x:v>Final compliance approval</x:v>
      </x:c>
      <x:c r="D194" s="24" t="str">
        <x:v>Compliance</x:v>
      </x:c>
      <x:c r="E194" s="25" t="n">
        <x:v>12</x:v>
      </x:c>
      <x:c r="F194" s="25" t="n">
        <x:v>12</x:v>
      </x:c>
      <x:c r="G194" s="26" t="str">
        <x:v>Not Started</x:v>
      </x:c>
      <x:c r="H194" s="26" t="str">
        <x:f>IF(G194="Not Needed","Not Needed",IF(G194="Complete","Complete",IF(G194="Blocked","Blocked",IF(G194="At Risk","At Risk",IF(OR(E194="",F194=""),"Schedule TBD",IF(F194&lt;'Overview'!$B$8,"Late",IF(E194&lt;='Overview'!$B$8+2,"Due Soon","On Track")))))))</x:f>
        <x:v>On Track</x:v>
      </x:c>
      <x:c r="I194" s="30" t="str"/>
      <x:c r="J194" s="30" t="str"/>
      <x:c r="K194" s="27" t="str"/>
      <x:c r="L194" s="27" t="str">
        <x:v>​6.13</x:v>
      </x:c>
      <x:c r="M194" s="28" t="n">
        <x:f>IF(OR(E194="",F194=""),"",F194-E194+1)</x:f>
        <x:v>1</x:v>
      </x:c>
      <x:c r="N194" s="29" t="str"/>
      <x:c r="O194" s="27" t="str"/>
      <x:c r="P194" s="20" t="str">
        <x:f>IF(AND(G194&lt;&gt;"Not Needed",G194&lt;&gt;"Complete",OR(G194="Blocked",G194="At Risk",G194="In Progress",H194="Late",H194="Due Soon")),COUNT($P$6:P193)+1,"")</x:f>
      </x:c>
    </x:row>
    <x:row r="195" ht="24" customHeight="1">
      <x:c r="A195" s="21" t="str">
        <x:v>​14.9</x:v>
      </x:c>
      <x:c r="B195" s="24" t="str">
        <x:v>Production Readiness</x:v>
      </x:c>
      <x:c r="C195" s="24" t="str">
        <x:v>Final UAT approval</x:v>
      </x:c>
      <x:c r="D195" s="24" t="str">
        <x:v>Product</x:v>
      </x:c>
      <x:c r="E195" s="25" t="n">
        <x:v>11</x:v>
      </x:c>
      <x:c r="F195" s="25" t="n">
        <x:v>11</x:v>
      </x:c>
      <x:c r="G195" s="26" t="str">
        <x:v>Not Started</x:v>
      </x:c>
      <x:c r="H195" s="26" t="str">
        <x:f>IF(G195="Not Needed","Not Needed",IF(G195="Complete","Complete",IF(G195="Blocked","Blocked",IF(G195="At Risk","At Risk",IF(OR(E195="",F195=""),"Schedule TBD",IF(F195&lt;'Overview'!$B$8,"Late",IF(E195&lt;='Overview'!$B$8+2,"Due Soon","On Track")))))))</x:f>
        <x:v>On Track</x:v>
      </x:c>
      <x:c r="I195" s="30" t="str"/>
      <x:c r="J195" s="30" t="str"/>
      <x:c r="K195" s="27" t="str"/>
      <x:c r="L195" s="27" t="str">
        <x:v>​10.13</x:v>
      </x:c>
      <x:c r="M195" s="28" t="n">
        <x:f>IF(OR(E195="",F195=""),"",F195-E195+1)</x:f>
        <x:v>1</x:v>
      </x:c>
      <x:c r="N195" s="29" t="str"/>
      <x:c r="O195" s="27" t="str"/>
      <x:c r="P195" s="20" t="str">
        <x:f>IF(AND(G195&lt;&gt;"Not Needed",G195&lt;&gt;"Complete",OR(G195="Blocked",G195="At Risk",G195="In Progress",H195="Late",H195="Due Soon")),COUNT($P$6:P194)+1,"")</x:f>
      </x:c>
    </x:row>
    <x:row r="196" ht="24" customHeight="1">
      <x:c r="A196" s="21" t="str">
        <x:v>​14.10</x:v>
      </x:c>
      <x:c r="B196" s="24" t="str">
        <x:v>Production Readiness</x:v>
      </x:c>
      <x:c r="C196" s="24" t="str">
        <x:v>Operational readiness approval</x:v>
      </x:c>
      <x:c r="D196" s="24" t="str">
        <x:v>Operations</x:v>
      </x:c>
      <x:c r="E196" s="25" t="n">
        <x:v>12</x:v>
      </x:c>
      <x:c r="F196" s="25" t="n">
        <x:v>12</x:v>
      </x:c>
      <x:c r="G196" s="26" t="str">
        <x:v>Not Started</x:v>
      </x:c>
      <x:c r="H196" s="26" t="str">
        <x:f>IF(G196="Not Needed","Not Needed",IF(G196="Complete","Complete",IF(G196="Blocked","Blocked",IF(G196="At Risk","At Risk",IF(OR(E196="",F196=""),"Schedule TBD",IF(F196&lt;'Overview'!$B$8,"Late",IF(E196&lt;='Overview'!$B$8+2,"Due Soon","On Track")))))))</x:f>
        <x:v>On Track</x:v>
      </x:c>
      <x:c r="I196" s="30" t="str"/>
      <x:c r="J196" s="30" t="str"/>
      <x:c r="K196" s="27" t="str"/>
      <x:c r="L196" s="27" t="str">
        <x:v>​11.14</x:v>
      </x:c>
      <x:c r="M196" s="28" t="n">
        <x:f>IF(OR(E196="",F196=""),"",F196-E196+1)</x:f>
        <x:v>1</x:v>
      </x:c>
      <x:c r="N196" s="29" t="str"/>
      <x:c r="O196" s="27" t="str"/>
      <x:c r="P196" s="20" t="str">
        <x:f>IF(AND(G196&lt;&gt;"Not Needed",G196&lt;&gt;"Complete",OR(G196="Blocked",G196="At Risk",G196="In Progress",H196="Late",H196="Due Soon")),COUNT($P$6:P195)+1,"")</x:f>
      </x:c>
    </x:row>
    <x:row r="197" ht="24" customHeight="1">
      <x:c r="A197" s="21" t="str">
        <x:v>​14.11</x:v>
      </x:c>
      <x:c r="B197" s="24" t="str">
        <x:v>Production Readiness</x:v>
      </x:c>
      <x:c r="C197" s="24" t="str">
        <x:v>Marketing readiness approval</x:v>
      </x:c>
      <x:c r="D197" s="24" t="str">
        <x:v>Marketing</x:v>
      </x:c>
      <x:c r="E197" s="25" t="n">
        <x:v>12</x:v>
      </x:c>
      <x:c r="F197" s="25" t="n">
        <x:v>12</x:v>
      </x:c>
      <x:c r="G197" s="26" t="str">
        <x:v>Not Started</x:v>
      </x:c>
      <x:c r="H197" s="26" t="str">
        <x:f>IF(G197="Not Needed","Not Needed",IF(G197="Complete","Complete",IF(G197="Blocked","Blocked",IF(G197="At Risk","At Risk",IF(OR(E197="",F197=""),"Schedule TBD",IF(F197&lt;'Overview'!$B$8,"Late",IF(E197&lt;='Overview'!$B$8+2,"Due Soon","On Track")))))))</x:f>
        <x:v>On Track</x:v>
      </x:c>
      <x:c r="I197" s="30" t="str"/>
      <x:c r="J197" s="30" t="str"/>
      <x:c r="K197" s="27" t="str"/>
      <x:c r="L197" s="27" t="str">
        <x:v>​12.12</x:v>
      </x:c>
      <x:c r="M197" s="28" t="n">
        <x:f>IF(OR(E197="",F197=""),"",F197-E197+1)</x:f>
        <x:v>1</x:v>
      </x:c>
      <x:c r="N197" s="29" t="str"/>
      <x:c r="O197" s="27" t="str"/>
      <x:c r="P197" s="20" t="str">
        <x:f>IF(AND(G197&lt;&gt;"Not Needed",G197&lt;&gt;"Complete",OR(G197="Blocked",G197="At Risk",G197="In Progress",H197="Late",H197="Due Soon")),COUNT($P$6:P196)+1,"")</x:f>
      </x:c>
    </x:row>
    <x:row r="198" ht="24" customHeight="1">
      <x:c r="A198" s="21" t="str">
        <x:v>​14.12</x:v>
      </x:c>
      <x:c r="B198" s="24" t="str">
        <x:v>Production Readiness</x:v>
      </x:c>
      <x:c r="C198" s="24" t="str">
        <x:v>Prepare rollback plan</x:v>
      </x:c>
      <x:c r="D198" s="24" t="str">
        <x:v>Tech</x:v>
      </x:c>
      <x:c r="E198" s="25" t="n">
        <x:v>12</x:v>
      </x:c>
      <x:c r="F198" s="25" t="n">
        <x:v>12</x:v>
      </x:c>
      <x:c r="G198" s="26" t="str">
        <x:v>Not Started</x:v>
      </x:c>
      <x:c r="H198" s="26" t="str">
        <x:f>IF(G198="Not Needed","Not Needed",IF(G198="Complete","Complete",IF(G198="Blocked","Blocked",IF(G198="At Risk","At Risk",IF(OR(E198="",F198=""),"Schedule TBD",IF(F198&lt;'Overview'!$B$8,"Late",IF(E198&lt;='Overview'!$B$8+2,"Due Soon","On Track")))))))</x:f>
        <x:v>On Track</x:v>
      </x:c>
      <x:c r="I198" s="30" t="str"/>
      <x:c r="J198" s="30" t="str"/>
      <x:c r="K198" s="27" t="str"/>
      <x:c r="L198" s="27" t="str">
        <x:v>​14.2</x:v>
      </x:c>
      <x:c r="M198" s="28" t="n">
        <x:f>IF(OR(E198="",F198=""),"",F198-E198+1)</x:f>
        <x:v>1</x:v>
      </x:c>
      <x:c r="N198" s="29" t="str"/>
      <x:c r="O198" s="27" t="str"/>
      <x:c r="P198" s="20" t="str">
        <x:f>IF(AND(G198&lt;&gt;"Not Needed",G198&lt;&gt;"Complete",OR(G198="Blocked",G198="At Risk",G198="In Progress",H198="Late",H198="Due Soon")),COUNT($P$6:P197)+1,"")</x:f>
      </x:c>
    </x:row>
    <x:row r="199" ht="24" customHeight="1">
      <x:c r="A199" s="21" t="str">
        <x:v>​14.13</x:v>
      </x:c>
      <x:c r="B199" s="24" t="str">
        <x:v>Production Readiness</x:v>
      </x:c>
      <x:c r="C199" s="24" t="str">
        <x:v>Prepare production validation script</x:v>
      </x:c>
      <x:c r="D199" s="24" t="str">
        <x:v>QA</x:v>
      </x:c>
      <x:c r="E199" s="25" t="n">
        <x:v>12</x:v>
      </x:c>
      <x:c r="F199" s="25" t="n">
        <x:v>12</x:v>
      </x:c>
      <x:c r="G199" s="26" t="str">
        <x:v>Not Started</x:v>
      </x:c>
      <x:c r="H199" s="26" t="str">
        <x:f>IF(G199="Not Needed","Not Needed",IF(G199="Complete","Complete",IF(G199="Blocked","Blocked",IF(G199="At Risk","At Risk",IF(OR(E199="",F199=""),"Schedule TBD",IF(F199&lt;'Overview'!$B$8,"Late",IF(E199&lt;='Overview'!$B$8+2,"Due Soon","On Track")))))))</x:f>
        <x:v>On Track</x:v>
      </x:c>
      <x:c r="I199" s="30" t="str"/>
      <x:c r="J199" s="30" t="str"/>
      <x:c r="K199" s="27" t="str"/>
      <x:c r="L199" s="27" t="str">
        <x:v>​14.2</x:v>
      </x:c>
      <x:c r="M199" s="28" t="n">
        <x:f>IF(OR(E199="",F199=""),"",F199-E199+1)</x:f>
        <x:v>1</x:v>
      </x:c>
      <x:c r="N199" s="29" t="str"/>
      <x:c r="O199" s="27" t="str"/>
      <x:c r="P199" s="20" t="str">
        <x:f>IF(AND(G199&lt;&gt;"Not Needed",G199&lt;&gt;"Complete",OR(G199="Blocked",G199="At Risk",G199="In Progress",H199="Late",H199="Due Soon")),COUNT($P$6:P198)+1,"")</x:f>
      </x:c>
    </x:row>
    <x:row r="200" ht="24" customHeight="1">
      <x:c r="A200" s="21" t="str">
        <x:v>​14.14</x:v>
      </x:c>
      <x:c r="B200" s="24" t="str">
        <x:v>Production Readiness</x:v>
      </x:c>
      <x:c r="C200" s="24" t="str">
        <x:v>Conduct Go/No-Go meeting</x:v>
      </x:c>
      <x:c r="D200" s="24" t="str">
        <x:v>Sponsor</x:v>
      </x:c>
      <x:c r="E200" s="25" t="n">
        <x:v>13</x:v>
      </x:c>
      <x:c r="F200" s="25" t="n">
        <x:v>13</x:v>
      </x:c>
      <x:c r="G200" s="26" t="str">
        <x:v>Not Started</x:v>
      </x:c>
      <x:c r="H200" s="26" t="str">
        <x:f>IF(G200="Not Needed","Not Needed",IF(G200="Complete","Complete",IF(G200="Blocked","Blocked",IF(G200="At Risk","At Risk",IF(OR(E200="",F200=""),"Schedule TBD",IF(F200&lt;'Overview'!$B$8,"Late",IF(E200&lt;='Overview'!$B$8+2,"Due Soon","On Track")))))))</x:f>
        <x:v>On Track</x:v>
      </x:c>
      <x:c r="I200" s="30" t="str"/>
      <x:c r="J200" s="30" t="str"/>
      <x:c r="K200" s="27" t="str">
        <x:v>PM</x:v>
      </x:c>
      <x:c r="L200" s="27" t="str">
        <x:v>​14.1–14.13</x:v>
      </x:c>
      <x:c r="M200" s="28" t="n">
        <x:f>IF(OR(E200="",F200=""),"",F200-E200+1)</x:f>
        <x:v>1</x:v>
      </x:c>
      <x:c r="N200" s="29" t="str">
        <x:v>Milestone</x:v>
      </x:c>
      <x:c r="O200" s="27" t="str"/>
      <x:c r="P200" s="20" t="str">
        <x:f>IF(AND(G200&lt;&gt;"Not Needed",G200&lt;&gt;"Complete",OR(G200="Blocked",G200="At Risk",G200="In Progress",H200="Late",H200="Due Soon")),COUNT($P$6:P199)+1,"")</x:f>
      </x:c>
    </x:row>
    <x:row r="201" ht="24" customHeight="1">
      <x:c r="A201" s="21" t="str">
        <x:v>​15.1</x:v>
      </x:c>
      <x:c r="B201" s="24" t="str">
        <x:v>Production Deployment</x:v>
      </x:c>
      <x:c r="C201" s="24" t="str">
        <x:v>Deploy/configure production</x:v>
      </x:c>
      <x:c r="D201" s="24" t="str">
        <x:v>Fiserv</x:v>
      </x:c>
      <x:c r="E201" s="25" t="n">
        <x:v>13</x:v>
      </x:c>
      <x:c r="F201" s="25" t="n">
        <x:v>13</x:v>
      </x:c>
      <x:c r="G201" s="26" t="str">
        <x:v>Not Started</x:v>
      </x:c>
      <x:c r="H201" s="26" t="str">
        <x:f>IF(G201="Not Needed","Not Needed",IF(G201="Complete","Complete",IF(G201="Blocked","Blocked",IF(G201="At Risk","At Risk",IF(OR(E201="",F201=""),"Schedule TBD",IF(F201&lt;'Overview'!$B$8,"Late",IF(E201&lt;='Overview'!$B$8+2,"Due Soon","On Track")))))))</x:f>
        <x:v>On Track</x:v>
      </x:c>
      <x:c r="I201" s="30" t="str"/>
      <x:c r="J201" s="30" t="str"/>
      <x:c r="K201" s="27" t="str">
        <x:v>SavvyMoney</x:v>
      </x:c>
      <x:c r="L201" s="27" t="str">
        <x:v>​14.14</x:v>
      </x:c>
      <x:c r="M201" s="28" t="n">
        <x:f>IF(OR(E201="",F201=""),"",F201-E201+1)</x:f>
        <x:v>1</x:v>
      </x:c>
      <x:c r="N201" s="29" t="str">
        <x:v>Milestone</x:v>
      </x:c>
      <x:c r="O201" s="27" t="str"/>
      <x:c r="P201" s="20" t="str">
        <x:f>IF(AND(G201&lt;&gt;"Not Needed",G201&lt;&gt;"Complete",OR(G201="Blocked",G201="At Risk",G201="In Progress",H201="Late",H201="Due Soon")),COUNT($P$6:P200)+1,"")</x:f>
      </x:c>
    </x:row>
    <x:row r="202" ht="24" customHeight="1">
      <x:c r="A202" s="21" t="str">
        <x:v>​15.2</x:v>
      </x:c>
      <x:c r="B202" s="24" t="str">
        <x:v>Production Deployment</x:v>
      </x:c>
      <x:c r="C202" s="24" t="str">
        <x:v>Enable OLB integration</x:v>
      </x:c>
      <x:c r="D202" s="24" t="str">
        <x:v>Fiserv</x:v>
      </x:c>
      <x:c r="E202" s="25" t="n">
        <x:v>13</x:v>
      </x:c>
      <x:c r="F202" s="25" t="n">
        <x:v>13</x:v>
      </x:c>
      <x:c r="G202" s="26" t="str">
        <x:v>Not Started</x:v>
      </x:c>
      <x:c r="H202" s="26" t="str">
        <x:f>IF(G202="Not Needed","Not Needed",IF(G202="Complete","Complete",IF(G202="Blocked","Blocked",IF(G202="At Risk","At Risk",IF(OR(E202="",F202=""),"Schedule TBD",IF(F202&lt;'Overview'!$B$8,"Late",IF(E202&lt;='Overview'!$B$8+2,"Due Soon","On Track")))))))</x:f>
        <x:v>On Track</x:v>
      </x:c>
      <x:c r="I202" s="30" t="str"/>
      <x:c r="J202" s="30" t="str"/>
      <x:c r="K202" s="27" t="str"/>
      <x:c r="L202" s="27" t="str">
        <x:v>​15.1</x:v>
      </x:c>
      <x:c r="M202" s="28" t="n">
        <x:f>IF(OR(E202="",F202=""),"",F202-E202+1)</x:f>
        <x:v>1</x:v>
      </x:c>
      <x:c r="N202" s="29" t="str"/>
      <x:c r="O202" s="27" t="str"/>
      <x:c r="P202" s="20" t="str">
        <x:f>IF(AND(G202&lt;&gt;"Not Needed",G202&lt;&gt;"Complete",OR(G202="Blocked",G202="At Risk",G202="In Progress",H202="Late",H202="Due Soon")),COUNT($P$6:P201)+1,"")</x:f>
      </x:c>
    </x:row>
    <x:row r="203" ht="24" customHeight="1">
      <x:c r="A203" s="21" t="str">
        <x:v>​15.3</x:v>
      </x:c>
      <x:c r="B203" s="24" t="str">
        <x:v>Production Deployment</x:v>
      </x:c>
      <x:c r="C203" s="24" t="str">
        <x:v>Enable mobile integration</x:v>
      </x:c>
      <x:c r="D203" s="24" t="str">
        <x:v>Fiserv</x:v>
      </x:c>
      <x:c r="E203" s="25" t="n">
        <x:v>13</x:v>
      </x:c>
      <x:c r="F203" s="25" t="n">
        <x:v>13</x:v>
      </x:c>
      <x:c r="G203" s="26" t="str">
        <x:v>Not Started</x:v>
      </x:c>
      <x:c r="H203" s="26" t="str">
        <x:f>IF(G203="Not Needed","Not Needed",IF(G203="Complete","Complete",IF(G203="Blocked","Blocked",IF(G203="At Risk","At Risk",IF(OR(E203="",F203=""),"Schedule TBD",IF(F203&lt;'Overview'!$B$8,"Late",IF(E203&lt;='Overview'!$B$8+2,"Due Soon","On Track")))))))</x:f>
        <x:v>On Track</x:v>
      </x:c>
      <x:c r="I203" s="30" t="str"/>
      <x:c r="J203" s="30" t="str"/>
      <x:c r="K203" s="27" t="str"/>
      <x:c r="L203" s="27" t="str">
        <x:v>​15.1</x:v>
      </x:c>
      <x:c r="M203" s="28" t="n">
        <x:f>IF(OR(E203="",F203=""),"",F203-E203+1)</x:f>
        <x:v>1</x:v>
      </x:c>
      <x:c r="N203" s="29" t="str"/>
      <x:c r="O203" s="27" t="str"/>
      <x:c r="P203" s="20" t="str">
        <x:f>IF(AND(G203&lt;&gt;"Not Needed",G203&lt;&gt;"Complete",OR(G203="Blocked",G203="At Risk",G203="In Progress",H203="Late",H203="Due Soon")),COUNT($P$6:P202)+1,"")</x:f>
      </x:c>
    </x:row>
    <x:row r="204" ht="24" customHeight="1">
      <x:c r="A204" s="21" t="str">
        <x:v>​15.4</x:v>
      </x:c>
      <x:c r="B204" s="24" t="str">
        <x:v>Production Deployment</x:v>
      </x:c>
      <x:c r="C204" s="24" t="str">
        <x:v>Production smoke test</x:v>
      </x:c>
      <x:c r="D204" s="24" t="str">
        <x:v>QA</x:v>
      </x:c>
      <x:c r="E204" s="25" t="n">
        <x:v>13</x:v>
      </x:c>
      <x:c r="F204" s="25" t="n">
        <x:v>13</x:v>
      </x:c>
      <x:c r="G204" s="26" t="str">
        <x:v>Not Started</x:v>
      </x:c>
      <x:c r="H204" s="26" t="str">
        <x:f>IF(G204="Not Needed","Not Needed",IF(G204="Complete","Complete",IF(G204="Blocked","Blocked",IF(G204="At Risk","At Risk",IF(OR(E204="",F204=""),"Schedule TBD",IF(F204&lt;'Overview'!$B$8,"Late",IF(E204&lt;='Overview'!$B$8+2,"Due Soon","On Track")))))))</x:f>
        <x:v>On Track</x:v>
      </x:c>
      <x:c r="I204" s="30" t="str"/>
      <x:c r="J204" s="30" t="str"/>
      <x:c r="K204" s="27" t="str"/>
      <x:c r="L204" s="27" t="str">
        <x:v>​15.1–15.3</x:v>
      </x:c>
      <x:c r="M204" s="28" t="n">
        <x:f>IF(OR(E204="",F204=""),"",F204-E204+1)</x:f>
        <x:v>1</x:v>
      </x:c>
      <x:c r="N204" s="29" t="str"/>
      <x:c r="O204" s="27" t="str"/>
      <x:c r="P204" s="20" t="str">
        <x:f>IF(AND(G204&lt;&gt;"Not Needed",G204&lt;&gt;"Complete",OR(G204="Blocked",G204="At Risk",G204="In Progress",H204="Late",H204="Due Soon")),COUNT($P$6:P203)+1,"")</x:f>
      </x:c>
    </x:row>
    <x:row r="205" ht="24" customHeight="1">
      <x:c r="A205" s="21" t="str">
        <x:v>​15.5</x:v>
      </x:c>
      <x:c r="B205" s="24" t="str">
        <x:v>Production Deployment</x:v>
      </x:c>
      <x:c r="C205" s="24" t="str">
        <x:v>Validate SSO</x:v>
      </x:c>
      <x:c r="D205" s="24" t="str">
        <x:v>QA</x:v>
      </x:c>
      <x:c r="E205" s="25" t="n">
        <x:v>13</x:v>
      </x:c>
      <x:c r="F205" s="25" t="n">
        <x:v>13</x:v>
      </x:c>
      <x:c r="G205" s="26" t="str">
        <x:v>Not Started</x:v>
      </x:c>
      <x:c r="H205" s="26" t="str">
        <x:f>IF(G205="Not Needed","Not Needed",IF(G205="Complete","Complete",IF(G205="Blocked","Blocked",IF(G205="At Risk","At Risk",IF(OR(E205="",F205=""),"Schedule TBD",IF(F205&lt;'Overview'!$B$8,"Late",IF(E205&lt;='Overview'!$B$8+2,"Due Soon","On Track")))))))</x:f>
        <x:v>On Track</x:v>
      </x:c>
      <x:c r="I205" s="30" t="str"/>
      <x:c r="J205" s="30" t="str"/>
      <x:c r="K205" s="27" t="str">
        <x:v>Tech</x:v>
      </x:c>
      <x:c r="L205" s="27" t="str">
        <x:v>​15.4</x:v>
      </x:c>
      <x:c r="M205" s="28" t="n">
        <x:f>IF(OR(E205="",F205=""),"",F205-E205+1)</x:f>
        <x:v>1</x:v>
      </x:c>
      <x:c r="N205" s="29" t="str"/>
      <x:c r="O205" s="27" t="str"/>
      <x:c r="P205" s="20" t="str">
        <x:f>IF(AND(G205&lt;&gt;"Not Needed",G205&lt;&gt;"Complete",OR(G205="Blocked",G205="At Risk",G205="In Progress",H205="Late",H205="Due Soon")),COUNT($P$6:P204)+1,"")</x:f>
      </x:c>
    </x:row>
    <x:row r="206" ht="24" customHeight="1">
      <x:c r="A206" s="21" t="str">
        <x:v>​15.6</x:v>
      </x:c>
      <x:c r="B206" s="24" t="str">
        <x:v>Production Deployment</x:v>
      </x:c>
      <x:c r="C206" s="24" t="str">
        <x:v>Validate enrollment</x:v>
      </x:c>
      <x:c r="D206" s="24" t="str">
        <x:v>Product</x:v>
      </x:c>
      <x:c r="E206" s="25" t="n">
        <x:v>13</x:v>
      </x:c>
      <x:c r="F206" s="25" t="n">
        <x:v>13</x:v>
      </x:c>
      <x:c r="G206" s="26" t="str">
        <x:v>Not Started</x:v>
      </x:c>
      <x:c r="H206" s="26" t="str">
        <x:f>IF(G206="Not Needed","Not Needed",IF(G206="Complete","Complete",IF(G206="Blocked","Blocked",IF(G206="At Risk","At Risk",IF(OR(E206="",F206=""),"Schedule TBD",IF(F206&lt;'Overview'!$B$8,"Late",IF(E206&lt;='Overview'!$B$8+2,"Due Soon","On Track")))))))</x:f>
        <x:v>On Track</x:v>
      </x:c>
      <x:c r="I206" s="30" t="str"/>
      <x:c r="J206" s="30" t="str"/>
      <x:c r="K206" s="27" t="str">
        <x:v>QA</x:v>
      </x:c>
      <x:c r="L206" s="27" t="str">
        <x:v>​15.4</x:v>
      </x:c>
      <x:c r="M206" s="28" t="n">
        <x:f>IF(OR(E206="",F206=""),"",F206-E206+1)</x:f>
        <x:v>1</x:v>
      </x:c>
      <x:c r="N206" s="29" t="str"/>
      <x:c r="O206" s="27" t="str"/>
      <x:c r="P206" s="20" t="str">
        <x:f>IF(AND(G206&lt;&gt;"Not Needed",G206&lt;&gt;"Complete",OR(G206="Blocked",G206="At Risk",G206="In Progress",H206="Late",H206="Due Soon")),COUNT($P$6:P205)+1,"")</x:f>
      </x:c>
    </x:row>
    <x:row r="207" ht="24" customHeight="1">
      <x:c r="A207" s="21" t="str">
        <x:v>​15.7</x:v>
      </x:c>
      <x:c r="B207" s="24" t="str">
        <x:v>Production Deployment</x:v>
      </x:c>
      <x:c r="C207" s="24" t="str">
        <x:v>Validate analytics</x:v>
      </x:c>
      <x:c r="D207" s="24" t="str">
        <x:v>Data</x:v>
      </x:c>
      <x:c r="E207" s="25" t="n">
        <x:v>13</x:v>
      </x:c>
      <x:c r="F207" s="25" t="n">
        <x:v>13</x:v>
      </x:c>
      <x:c r="G207" s="26" t="str">
        <x:v>Not Started</x:v>
      </x:c>
      <x:c r="H207" s="26" t="str">
        <x:f>IF(G207="Not Needed","Not Needed",IF(G207="Complete","Complete",IF(G207="Blocked","Blocked",IF(G207="At Risk","At Risk",IF(OR(E207="",F207=""),"Schedule TBD",IF(F207&lt;'Overview'!$B$8,"Late",IF(E207&lt;='Overview'!$B$8+2,"Due Soon","On Track")))))))</x:f>
        <x:v>On Track</x:v>
      </x:c>
      <x:c r="I207" s="30" t="str"/>
      <x:c r="J207" s="30" t="str"/>
      <x:c r="K207" s="27" t="str"/>
      <x:c r="L207" s="27" t="str">
        <x:v>​15.4</x:v>
      </x:c>
      <x:c r="M207" s="28" t="n">
        <x:f>IF(OR(E207="",F207=""),"",F207-E207+1)</x:f>
        <x:v>1</x:v>
      </x:c>
      <x:c r="N207" s="29" t="str"/>
      <x:c r="O207" s="27" t="str"/>
      <x:c r="P207" s="20" t="str">
        <x:f>IF(AND(G207&lt;&gt;"Not Needed",G207&lt;&gt;"Complete",OR(G207="Blocked",G207="At Risk",G207="In Progress",H207="Late",H207="Due Soon")),COUNT($P$6:P206)+1,"")</x:f>
      </x:c>
    </x:row>
    <x:row r="208" ht="24" customHeight="1">
      <x:c r="A208" s="21" t="str">
        <x:v>​15.8</x:v>
      </x:c>
      <x:c r="B208" s="24" t="str">
        <x:v>Production Deployment</x:v>
      </x:c>
      <x:c r="C208" s="24" t="str">
        <x:v>Confirm no critical defects</x:v>
      </x:c>
      <x:c r="D208" s="24" t="str">
        <x:v>PM</x:v>
      </x:c>
      <x:c r="E208" s="25" t="n">
        <x:v>13</x:v>
      </x:c>
      <x:c r="F208" s="25" t="n">
        <x:v>13</x:v>
      </x:c>
      <x:c r="G208" s="26" t="str">
        <x:v>Not Started</x:v>
      </x:c>
      <x:c r="H208" s="26" t="str">
        <x:f>IF(G208="Not Needed","Not Needed",IF(G208="Complete","Complete",IF(G208="Blocked","Blocked",IF(G208="At Risk","At Risk",IF(OR(E208="",F208=""),"Schedule TBD",IF(F208&lt;'Overview'!$B$8,"Late",IF(E208&lt;='Overview'!$B$8+2,"Due Soon","On Track")))))))</x:f>
        <x:v>On Track</x:v>
      </x:c>
      <x:c r="I208" s="30" t="str"/>
      <x:c r="J208" s="30" t="str"/>
      <x:c r="K208" s="27" t="str">
        <x:v>QA</x:v>
      </x:c>
      <x:c r="L208" s="27" t="str">
        <x:v>​15.4–15.7</x:v>
      </x:c>
      <x:c r="M208" s="28" t="n">
        <x:f>IF(OR(E208="",F208=""),"",F208-E208+1)</x:f>
        <x:v>1</x:v>
      </x:c>
      <x:c r="N208" s="29" t="str"/>
      <x:c r="O208" s="27" t="str"/>
      <x:c r="P208" s="20" t="str">
        <x:f>IF(AND(G208&lt;&gt;"Not Needed",G208&lt;&gt;"Complete",OR(G208="Blocked",G208="At Risk",G208="In Progress",H208="Late",H208="Due Soon")),COUNT($P$6:P207)+1,"")</x:f>
      </x:c>
    </x:row>
    <x:row r="209" ht="24" customHeight="1">
      <x:c r="A209" s="21" t="str">
        <x:v>​15.9</x:v>
      </x:c>
      <x:c r="B209" s="24" t="str">
        <x:v>Production Deployment</x:v>
      </x:c>
      <x:c r="C209" s="24" t="str">
        <x:v>Production acceptance</x:v>
      </x:c>
      <x:c r="D209" s="24" t="str">
        <x:v>Product</x:v>
      </x:c>
      <x:c r="E209" s="25" t="n">
        <x:v>13</x:v>
      </x:c>
      <x:c r="F209" s="25" t="n">
        <x:v>13</x:v>
      </x:c>
      <x:c r="G209" s="26" t="str">
        <x:v>Not Started</x:v>
      </x:c>
      <x:c r="H209" s="26" t="str">
        <x:f>IF(G209="Not Needed","Not Needed",IF(G209="Complete","Complete",IF(G209="Blocked","Blocked",IF(G209="At Risk","At Risk",IF(OR(E209="",F209=""),"Schedule TBD",IF(F209&lt;'Overview'!$B$8,"Late",IF(E209&lt;='Overview'!$B$8+2,"Due Soon","On Track")))))))</x:f>
        <x:v>On Track</x:v>
      </x:c>
      <x:c r="I209" s="30" t="str"/>
      <x:c r="J209" s="30" t="str"/>
      <x:c r="K209" s="27" t="str"/>
      <x:c r="L209" s="27" t="str">
        <x:v>​15.8</x:v>
      </x:c>
      <x:c r="M209" s="28" t="n">
        <x:f>IF(OR(E209="",F209=""),"",F209-E209+1)</x:f>
        <x:v>1</x:v>
      </x:c>
      <x:c r="N209" s="29" t="str">
        <x:v>Milestone</x:v>
      </x:c>
      <x:c r="O209" s="27" t="str"/>
      <x:c r="P209" s="20" t="str">
        <x:f>IF(AND(G209&lt;&gt;"Not Needed",G209&lt;&gt;"Complete",OR(G209="Blocked",G209="At Risk",G209="In Progress",H209="Late",H209="Due Soon")),COUNT($P$6:P208)+1,"")</x:f>
      </x:c>
    </x:row>
    <x:row r="210" ht="24" customHeight="1">
      <x:c r="A210" s="21" t="str">
        <x:v>​16.1</x:v>
      </x:c>
      <x:c r="B210" s="24" t="str">
        <x:v>Soft Launch</x:v>
      </x:c>
      <x:c r="C210" s="24" t="str">
        <x:v>Make capability available</x:v>
      </x:c>
      <x:c r="D210" s="24" t="str">
        <x:v>Product</x:v>
      </x:c>
      <x:c r="E210" s="25" t="n">
        <x:v>13</x:v>
      </x:c>
      <x:c r="F210" s="25" t="n">
        <x:v>13</x:v>
      </x:c>
      <x:c r="G210" s="26" t="str">
        <x:v>Not Started</x:v>
      </x:c>
      <x:c r="H210" s="26" t="str">
        <x:f>IF(G210="Not Needed","Not Needed",IF(G210="Complete","Complete",IF(G210="Blocked","Blocked",IF(G210="At Risk","At Risk",IF(OR(E210="",F210=""),"Schedule TBD",IF(F210&lt;'Overview'!$B$8,"Late",IF(E210&lt;='Overview'!$B$8+2,"Due Soon","On Track")))))))</x:f>
        <x:v>On Track</x:v>
      </x:c>
      <x:c r="I210" s="30" t="str"/>
      <x:c r="J210" s="30" t="str"/>
      <x:c r="K210" s="27" t="str">
        <x:v>Tech</x:v>
      </x:c>
      <x:c r="L210" s="27" t="str">
        <x:v>​15.9</x:v>
      </x:c>
      <x:c r="M210" s="28" t="n">
        <x:f>IF(OR(E210="",F210=""),"",F210-E210+1)</x:f>
        <x:v>1</x:v>
      </x:c>
      <x:c r="N210" s="29" t="str">
        <x:v>Milestone</x:v>
      </x:c>
      <x:c r="O210" s="27" t="str"/>
      <x:c r="P210" s="20" t="str">
        <x:f>IF(AND(G210&lt;&gt;"Not Needed",G210&lt;&gt;"Complete",OR(G210="Blocked",G210="At Risk",G210="In Progress",H210="Late",H210="Due Soon")),COUNT($P$6:P209)+1,"")</x:f>
      </x:c>
    </x:row>
    <x:row r="211" ht="24" customHeight="1">
      <x:c r="A211" s="21" t="str">
        <x:v>​16.2</x:v>
      </x:c>
      <x:c r="B211" s="24" t="str">
        <x:v>Soft Launch</x:v>
      </x:c>
      <x:c r="C211" s="24" t="str">
        <x:v>Hold broad customer marketing</x:v>
      </x:c>
      <x:c r="D211" s="24" t="str">
        <x:v>Marketing</x:v>
      </x:c>
      <x:c r="E211" s="25" t="n">
        <x:v>13</x:v>
      </x:c>
      <x:c r="F211" s="25" t="n">
        <x:v>13</x:v>
      </x:c>
      <x:c r="G211" s="26" t="str">
        <x:v>Not Started</x:v>
      </x:c>
      <x:c r="H211" s="26" t="str">
        <x:f>IF(G211="Not Needed","Not Needed",IF(G211="Complete","Complete",IF(G211="Blocked","Blocked",IF(G211="At Risk","At Risk",IF(OR(E211="",F211=""),"Schedule TBD",IF(F211&lt;'Overview'!$B$8,"Late",IF(E211&lt;='Overview'!$B$8+2,"Due Soon","On Track")))))))</x:f>
        <x:v>On Track</x:v>
      </x:c>
      <x:c r="I211" s="30" t="str"/>
      <x:c r="J211" s="30" t="str"/>
      <x:c r="K211" s="27" t="str"/>
      <x:c r="L211" s="27" t="str">
        <x:v>​16.1</x:v>
      </x:c>
      <x:c r="M211" s="28" t="n">
        <x:f>IF(OR(E211="",F211=""),"",F211-E211+1)</x:f>
        <x:v>1</x:v>
      </x:c>
      <x:c r="N211" s="29" t="str"/>
      <x:c r="O211" s="27" t="str"/>
      <x:c r="P211" s="20" t="str">
        <x:f>IF(AND(G211&lt;&gt;"Not Needed",G211&lt;&gt;"Complete",OR(G211="Blocked",G211="At Risk",G211="In Progress",H211="Late",H211="Due Soon")),COUNT($P$6:P210)+1,"")</x:f>
      </x:c>
    </x:row>
    <x:row r="212" ht="24" customHeight="1">
      <x:c r="A212" s="21" t="str">
        <x:v>​16.3</x:v>
      </x:c>
      <x:c r="B212" s="24" t="str">
        <x:v>Soft Launch</x:v>
      </x:c>
      <x:c r="C212" s="24" t="str">
        <x:v>Monitor enrollment</x:v>
      </x:c>
      <x:c r="D212" s="24" t="str">
        <x:v>Product</x:v>
      </x:c>
      <x:c r="E212" s="25" t="n">
        <x:v>13</x:v>
      </x:c>
      <x:c r="F212" s="25" t="n">
        <x:v>14</x:v>
      </x:c>
      <x:c r="G212" s="26" t="str">
        <x:v>Not Started</x:v>
      </x:c>
      <x:c r="H212" s="26" t="str">
        <x:f>IF(G212="Not Needed","Not Needed",IF(G212="Complete","Complete",IF(G212="Blocked","Blocked",IF(G212="At Risk","At Risk",IF(OR(E212="",F212=""),"Schedule TBD",IF(F212&lt;'Overview'!$B$8,"Late",IF(E212&lt;='Overview'!$B$8+2,"Due Soon","On Track")))))))</x:f>
        <x:v>On Track</x:v>
      </x:c>
      <x:c r="I212" s="30" t="str"/>
      <x:c r="J212" s="30" t="str"/>
      <x:c r="K212" s="27" t="str">
        <x:v>Data</x:v>
      </x:c>
      <x:c r="L212" s="27" t="str">
        <x:v>​16.1</x:v>
      </x:c>
      <x:c r="M212" s="28" t="n">
        <x:f>IF(OR(E212="",F212=""),"",F212-E212+1)</x:f>
        <x:v>2</x:v>
      </x:c>
      <x:c r="N212" s="29" t="str"/>
      <x:c r="O212" s="27" t="str"/>
      <x:c r="P212" s="20" t="str">
        <x:f>IF(AND(G212&lt;&gt;"Not Needed",G212&lt;&gt;"Complete",OR(G212="Blocked",G212="At Risk",G212="In Progress",H212="Late",H212="Due Soon")),COUNT($P$6:P211)+1,"")</x:f>
      </x:c>
    </x:row>
    <x:row r="213" ht="24" customHeight="1">
      <x:c r="A213" s="21" t="str">
        <x:v>​16.4</x:v>
      </x:c>
      <x:c r="B213" s="24" t="str">
        <x:v>Soft Launch</x:v>
      </x:c>
      <x:c r="C213" s="24" t="str">
        <x:v>Monitor authentication failures</x:v>
      </x:c>
      <x:c r="D213" s="24" t="str">
        <x:v>Tech</x:v>
      </x:c>
      <x:c r="E213" s="25" t="n">
        <x:v>13</x:v>
      </x:c>
      <x:c r="F213" s="25" t="n">
        <x:v>14</x:v>
      </x:c>
      <x:c r="G213" s="26" t="str">
        <x:v>Not Started</x:v>
      </x:c>
      <x:c r="H213" s="26" t="str">
        <x:f>IF(G213="Not Needed","Not Needed",IF(G213="Complete","Complete",IF(G213="Blocked","Blocked",IF(G213="At Risk","At Risk",IF(OR(E213="",F213=""),"Schedule TBD",IF(F213&lt;'Overview'!$B$8,"Late",IF(E213&lt;='Overview'!$B$8+2,"Due Soon","On Track")))))))</x:f>
        <x:v>On Track</x:v>
      </x:c>
      <x:c r="I213" s="30" t="str"/>
      <x:c r="J213" s="30" t="str"/>
      <x:c r="K213" s="27" t="str"/>
      <x:c r="L213" s="27" t="str">
        <x:v>​16.1</x:v>
      </x:c>
      <x:c r="M213" s="28" t="n">
        <x:f>IF(OR(E213="",F213=""),"",F213-E213+1)</x:f>
        <x:v>2</x:v>
      </x:c>
      <x:c r="N213" s="29" t="str"/>
      <x:c r="O213" s="27" t="str"/>
      <x:c r="P213" s="20" t="str">
        <x:f>IF(AND(G213&lt;&gt;"Not Needed",G213&lt;&gt;"Complete",OR(G213="Blocked",G213="At Risk",G213="In Progress",H213="Late",H213="Due Soon")),COUNT($P$6:P212)+1,"")</x:f>
      </x:c>
    </x:row>
    <x:row r="214" ht="24" customHeight="1">
      <x:c r="A214" s="21" t="str">
        <x:v>​16.5</x:v>
      </x:c>
      <x:c r="B214" s="24" t="str">
        <x:v>Soft Launch</x:v>
      </x:c>
      <x:c r="C214" s="24" t="str">
        <x:v>Monitor support contacts</x:v>
      </x:c>
      <x:c r="D214" s="24" t="str">
        <x:v>Operations</x:v>
      </x:c>
      <x:c r="E214" s="25" t="n">
        <x:v>13</x:v>
      </x:c>
      <x:c r="F214" s="25" t="n">
        <x:v>14</x:v>
      </x:c>
      <x:c r="G214" s="26" t="str">
        <x:v>Not Started</x:v>
      </x:c>
      <x:c r="H214" s="26" t="str">
        <x:f>IF(G214="Not Needed","Not Needed",IF(G214="Complete","Complete",IF(G214="Blocked","Blocked",IF(G214="At Risk","At Risk",IF(OR(E214="",F214=""),"Schedule TBD",IF(F214&lt;'Overview'!$B$8,"Late",IF(E214&lt;='Overview'!$B$8+2,"Due Soon","On Track")))))))</x:f>
        <x:v>On Track</x:v>
      </x:c>
      <x:c r="I214" s="30" t="str"/>
      <x:c r="J214" s="30" t="str"/>
      <x:c r="K214" s="27" t="str"/>
      <x:c r="L214" s="27" t="str">
        <x:v>​16.1</x:v>
      </x:c>
      <x:c r="M214" s="28" t="n">
        <x:f>IF(OR(E214="",F214=""),"",F214-E214+1)</x:f>
        <x:v>2</x:v>
      </x:c>
      <x:c r="N214" s="29" t="str"/>
      <x:c r="O214" s="27" t="str"/>
      <x:c r="P214" s="20" t="str">
        <x:f>IF(AND(G214&lt;&gt;"Not Needed",G214&lt;&gt;"Complete",OR(G214="Blocked",G214="At Risk",G214="In Progress",H214="Late",H214="Due Soon")),COUNT($P$6:P213)+1,"")</x:f>
      </x:c>
    </x:row>
    <x:row r="215" ht="24" customHeight="1">
      <x:c r="A215" s="21" t="str">
        <x:v>​16.6</x:v>
      </x:c>
      <x:c r="B215" s="24" t="str">
        <x:v>Soft Launch</x:v>
      </x:c>
      <x:c r="C215" s="24" t="str">
        <x:v>Monitor defects</x:v>
      </x:c>
      <x:c r="D215" s="24" t="str">
        <x:v>QA</x:v>
      </x:c>
      <x:c r="E215" s="25" t="n">
        <x:v>13</x:v>
      </x:c>
      <x:c r="F215" s="25" t="n">
        <x:v>14</x:v>
      </x:c>
      <x:c r="G215" s="26" t="str">
        <x:v>Not Started</x:v>
      </x:c>
      <x:c r="H215" s="26" t="str">
        <x:f>IF(G215="Not Needed","Not Needed",IF(G215="Complete","Complete",IF(G215="Blocked","Blocked",IF(G215="At Risk","At Risk",IF(OR(E215="",F215=""),"Schedule TBD",IF(F215&lt;'Overview'!$B$8,"Late",IF(E215&lt;='Overview'!$B$8+2,"Due Soon","On Track")))))))</x:f>
        <x:v>On Track</x:v>
      </x:c>
      <x:c r="I215" s="30" t="str"/>
      <x:c r="J215" s="30" t="str"/>
      <x:c r="K215" s="27" t="str">
        <x:v>Product</x:v>
      </x:c>
      <x:c r="L215" s="27" t="str">
        <x:v>​16.1</x:v>
      </x:c>
      <x:c r="M215" s="28" t="n">
        <x:f>IF(OR(E215="",F215=""),"",F215-E215+1)</x:f>
        <x:v>2</x:v>
      </x:c>
      <x:c r="N215" s="29" t="str"/>
      <x:c r="O215" s="27" t="str"/>
      <x:c r="P215" s="20" t="str">
        <x:f>IF(AND(G215&lt;&gt;"Not Needed",G215&lt;&gt;"Complete",OR(G215="Blocked",G215="At Risk",G215="In Progress",H215="Late",H215="Due Soon")),COUNT($P$6:P214)+1,"")</x:f>
      </x:c>
    </x:row>
    <x:row r="216" ht="24" customHeight="1">
      <x:c r="A216" s="21" t="str">
        <x:v>​16.7</x:v>
      </x:c>
      <x:c r="B216" s="24" t="str">
        <x:v>Soft Launch</x:v>
      </x:c>
      <x:c r="C216" s="24" t="str">
        <x:v>Review customer feedback</x:v>
      </x:c>
      <x:c r="D216" s="24" t="str">
        <x:v>Product</x:v>
      </x:c>
      <x:c r="E216" s="25" t="n">
        <x:v>14</x:v>
      </x:c>
      <x:c r="F216" s="25" t="n">
        <x:v>14</x:v>
      </x:c>
      <x:c r="G216" s="26" t="str">
        <x:v>Not Started</x:v>
      </x:c>
      <x:c r="H216" s="26" t="str">
        <x:f>IF(G216="Not Needed","Not Needed",IF(G216="Complete","Complete",IF(G216="Blocked","Blocked",IF(G216="At Risk","At Risk",IF(OR(E216="",F216=""),"Schedule TBD",IF(F216&lt;'Overview'!$B$8,"Late",IF(E216&lt;='Overview'!$B$8+2,"Due Soon","On Track")))))))</x:f>
        <x:v>On Track</x:v>
      </x:c>
      <x:c r="I216" s="30" t="str"/>
      <x:c r="J216" s="30" t="str"/>
      <x:c r="K216" s="27" t="str">
        <x:v>UX</x:v>
      </x:c>
      <x:c r="L216" s="27" t="str">
        <x:v>​16.1</x:v>
      </x:c>
      <x:c r="M216" s="28" t="n">
        <x:f>IF(OR(E216="",F216=""),"",F216-E216+1)</x:f>
        <x:v>1</x:v>
      </x:c>
      <x:c r="N216" s="29" t="str"/>
      <x:c r="O216" s="27" t="str"/>
      <x:c r="P216" s="20" t="str">
        <x:f>IF(AND(G216&lt;&gt;"Not Needed",G216&lt;&gt;"Complete",OR(G216="Blocked",G216="At Risk",G216="In Progress",H216="Late",H216="Due Soon")),COUNT($P$6:P215)+1,"")</x:f>
      </x:c>
    </x:row>
    <x:row r="217" ht="24" customHeight="1">
      <x:c r="A217" s="21" t="str">
        <x:v>​16.8</x:v>
      </x:c>
      <x:c r="B217" s="24" t="str">
        <x:v>Soft Launch</x:v>
      </x:c>
      <x:c r="C217" s="24" t="str">
        <x:v>Resolve launch issues</x:v>
      </x:c>
      <x:c r="D217" s="24" t="str">
        <x:v>Tech</x:v>
      </x:c>
      <x:c r="E217" s="25" t="n">
        <x:v>14</x:v>
      </x:c>
      <x:c r="F217" s="25" t="n">
        <x:v>14</x:v>
      </x:c>
      <x:c r="G217" s="26" t="str">
        <x:v>Not Started</x:v>
      </x:c>
      <x:c r="H217" s="26" t="str">
        <x:f>IF(G217="Not Needed","Not Needed",IF(G217="Complete","Complete",IF(G217="Blocked","Blocked",IF(G217="At Risk","At Risk",IF(OR(E217="",F217=""),"Schedule TBD",IF(F217&lt;'Overview'!$B$8,"Late",IF(E217&lt;='Overview'!$B$8+2,"Due Soon","On Track")))))))</x:f>
        <x:v>On Track</x:v>
      </x:c>
      <x:c r="I217" s="30" t="str"/>
      <x:c r="J217" s="30" t="str"/>
      <x:c r="K217" s="27" t="str">
        <x:v>Vendor</x:v>
      </x:c>
      <x:c r="L217" s="27" t="str">
        <x:v>​16.3–16.7</x:v>
      </x:c>
      <x:c r="M217" s="28" t="n">
        <x:f>IF(OR(E217="",F217=""),"",F217-E217+1)</x:f>
        <x:v>1</x:v>
      </x:c>
      <x:c r="N217" s="29" t="str"/>
      <x:c r="O217" s="27" t="str"/>
      <x:c r="P217" s="20" t="str">
        <x:f>IF(AND(G217&lt;&gt;"Not Needed",G217&lt;&gt;"Complete",OR(G217="Blocked",G217="At Risk",G217="In Progress",H217="Late",H217="Due Soon")),COUNT($P$6:P216)+1,"")</x:f>
      </x:c>
    </x:row>
    <x:row r="218" ht="24" customHeight="1">
      <x:c r="A218" s="21" t="str">
        <x:v>​16.9</x:v>
      </x:c>
      <x:c r="B218" s="24" t="str">
        <x:v>Soft Launch</x:v>
      </x:c>
      <x:c r="C218" s="24" t="str">
        <x:v>Soft-launch health review</x:v>
      </x:c>
      <x:c r="D218" s="24" t="str">
        <x:v>PM</x:v>
      </x:c>
      <x:c r="E218" s="25" t="n">
        <x:v>14</x:v>
      </x:c>
      <x:c r="F218" s="25" t="n">
        <x:v>14</x:v>
      </x:c>
      <x:c r="G218" s="26" t="str">
        <x:v>Not Started</x:v>
      </x:c>
      <x:c r="H218" s="26" t="str">
        <x:f>IF(G218="Not Needed","Not Needed",IF(G218="Complete","Complete",IF(G218="Blocked","Blocked",IF(G218="At Risk","At Risk",IF(OR(E218="",F218=""),"Schedule TBD",IF(F218&lt;'Overview'!$B$8,"Late",IF(E218&lt;='Overview'!$B$8+2,"Due Soon","On Track")))))))</x:f>
        <x:v>On Track</x:v>
      </x:c>
      <x:c r="I218" s="30" t="str"/>
      <x:c r="J218" s="30" t="str"/>
      <x:c r="K218" s="27" t="str">
        <x:v>Product</x:v>
      </x:c>
      <x:c r="L218" s="27" t="str">
        <x:v>​16.3–16.8</x:v>
      </x:c>
      <x:c r="M218" s="28" t="n">
        <x:f>IF(OR(E218="",F218=""),"",F218-E218+1)</x:f>
        <x:v>1</x:v>
      </x:c>
      <x:c r="N218" s="29" t="str"/>
      <x:c r="O218" s="27" t="str"/>
      <x:c r="P218" s="20" t="str">
        <x:f>IF(AND(G218&lt;&gt;"Not Needed",G218&lt;&gt;"Complete",OR(G218="Blocked",G218="At Risk",G218="In Progress",H218="Late",H218="Due Soon")),COUNT($P$6:P217)+1,"")</x:f>
      </x:c>
    </x:row>
    <x:row r="219" ht="24" customHeight="1">
      <x:c r="A219" s="21" t="str">
        <x:v>​16.10</x:v>
      </x:c>
      <x:c r="B219" s="24" t="str">
        <x:v>Soft Launch</x:v>
      </x:c>
      <x:c r="C219" s="24" t="str">
        <x:v>Approve broad marketing</x:v>
      </x:c>
      <x:c r="D219" s="24" t="str">
        <x:v>Sponsor</x:v>
      </x:c>
      <x:c r="E219" s="25" t="n">
        <x:v>14</x:v>
      </x:c>
      <x:c r="F219" s="25" t="n">
        <x:v>14</x:v>
      </x:c>
      <x:c r="G219" s="26" t="str">
        <x:v>Not Started</x:v>
      </x:c>
      <x:c r="H219" s="26" t="str">
        <x:f>IF(G219="Not Needed","Not Needed",IF(G219="Complete","Complete",IF(G219="Blocked","Blocked",IF(G219="At Risk","At Risk",IF(OR(E219="",F219=""),"Schedule TBD",IF(F219&lt;'Overview'!$B$8,"Late",IF(E219&lt;='Overview'!$B$8+2,"Due Soon","On Track")))))))</x:f>
        <x:v>On Track</x:v>
      </x:c>
      <x:c r="I219" s="30" t="str"/>
      <x:c r="J219" s="30" t="str"/>
      <x:c r="K219" s="27" t="str">
        <x:v>Product</x:v>
      </x:c>
      <x:c r="L219" s="27" t="str">
        <x:v>​16.9</x:v>
      </x:c>
      <x:c r="M219" s="28" t="n">
        <x:f>IF(OR(E219="",F219=""),"",F219-E219+1)</x:f>
        <x:v>1</x:v>
      </x:c>
      <x:c r="N219" s="29" t="str">
        <x:v>Milestone</x:v>
      </x:c>
      <x:c r="O219" s="27" t="str"/>
      <x:c r="P219" s="20" t="str">
        <x:f>IF(AND(G219&lt;&gt;"Not Needed",G219&lt;&gt;"Complete",OR(G219="Blocked",G219="At Risk",G219="In Progress",H219="Late",H219="Due Soon")),COUNT($P$6:P218)+1,"")</x:f>
      </x:c>
    </x:row>
    <x:row r="220" ht="24" customHeight="1">
      <x:c r="A220" s="21" t="str">
        <x:v>​17.1</x:v>
      </x:c>
      <x:c r="B220" s="24" t="str">
        <x:v>General Launch</x:v>
      </x:c>
      <x:c r="C220" s="24" t="str">
        <x:v>Activate OLB promotion</x:v>
      </x:c>
      <x:c r="D220" s="24" t="str">
        <x:v>Marketing</x:v>
      </x:c>
      <x:c r="E220" s="25" t="n">
        <x:v>15</x:v>
      </x:c>
      <x:c r="F220" s="25" t="n">
        <x:v>15</x:v>
      </x:c>
      <x:c r="G220" s="26" t="str">
        <x:v>Not Started</x:v>
      </x:c>
      <x:c r="H220" s="26" t="str">
        <x:f>IF(G220="Not Needed","Not Needed",IF(G220="Complete","Complete",IF(G220="Blocked","Blocked",IF(G220="At Risk","At Risk",IF(OR(E220="",F220=""),"Schedule TBD",IF(F220&lt;'Overview'!$B$8,"Late",IF(E220&lt;='Overview'!$B$8+2,"Due Soon","On Track")))))))</x:f>
        <x:v>On Track</x:v>
      </x:c>
      <x:c r="I220" s="30" t="str"/>
      <x:c r="J220" s="30" t="str"/>
      <x:c r="K220" s="27" t="str">
        <x:v>Digital</x:v>
      </x:c>
      <x:c r="L220" s="27" t="str">
        <x:v>​16.10</x:v>
      </x:c>
      <x:c r="M220" s="28" t="n">
        <x:f>IF(OR(E220="",F220=""),"",F220-E220+1)</x:f>
        <x:v>1</x:v>
      </x:c>
      <x:c r="N220" s="29" t="str">
        <x:v>Milestone</x:v>
      </x:c>
      <x:c r="O220" s="27" t="str"/>
      <x:c r="P220" s="20" t="str">
        <x:f>IF(AND(G220&lt;&gt;"Not Needed",G220&lt;&gt;"Complete",OR(G220="Blocked",G220="At Risk",G220="In Progress",H220="Late",H220="Due Soon")),COUNT($P$6:P219)+1,"")</x:f>
      </x:c>
    </x:row>
    <x:row r="221" ht="24" customHeight="1">
      <x:c r="A221" s="21" t="str">
        <x:v>​17.2</x:v>
      </x:c>
      <x:c r="B221" s="24" t="str">
        <x:v>General Launch</x:v>
      </x:c>
      <x:c r="C221" s="24" t="str">
        <x:v>Activate mobile promotion</x:v>
      </x:c>
      <x:c r="D221" s="24" t="str">
        <x:v>Marketing</x:v>
      </x:c>
      <x:c r="E221" s="25" t="n">
        <x:v>15</x:v>
      </x:c>
      <x:c r="F221" s="25" t="n">
        <x:v>15</x:v>
      </x:c>
      <x:c r="G221" s="26" t="str">
        <x:v>Not Started</x:v>
      </x:c>
      <x:c r="H221" s="26" t="str">
        <x:f>IF(G221="Not Needed","Not Needed",IF(G221="Complete","Complete",IF(G221="Blocked","Blocked",IF(G221="At Risk","At Risk",IF(OR(E221="",F221=""),"Schedule TBD",IF(F221&lt;'Overview'!$B$8,"Late",IF(E221&lt;='Overview'!$B$8+2,"Due Soon","On Track")))))))</x:f>
        <x:v>On Track</x:v>
      </x:c>
      <x:c r="I221" s="30" t="str"/>
      <x:c r="J221" s="30" t="str"/>
      <x:c r="K221" s="27" t="str">
        <x:v>Digital</x:v>
      </x:c>
      <x:c r="L221" s="27" t="str">
        <x:v>​16.10</x:v>
      </x:c>
      <x:c r="M221" s="28" t="n">
        <x:f>IF(OR(E221="",F221=""),"",F221-E221+1)</x:f>
        <x:v>1</x:v>
      </x:c>
      <x:c r="N221" s="29" t="str"/>
      <x:c r="O221" s="27" t="str"/>
      <x:c r="P221" s="20" t="str">
        <x:f>IF(AND(G221&lt;&gt;"Not Needed",G221&lt;&gt;"Complete",OR(G221="Blocked",G221="At Risk",G221="In Progress",H221="Late",H221="Due Soon")),COUNT($P$6:P220)+1,"")</x:f>
      </x:c>
    </x:row>
    <x:row r="222" ht="24" customHeight="1">
      <x:c r="A222" s="21" t="str">
        <x:v>​17.3</x:v>
      </x:c>
      <x:c r="B222" s="24" t="str">
        <x:v>General Launch</x:v>
      </x:c>
      <x:c r="C222" s="24" t="str">
        <x:v>Send customer email</x:v>
      </x:c>
      <x:c r="D222" s="24" t="str">
        <x:v>Marketing</x:v>
      </x:c>
      <x:c r="E222" s="25" t="n">
        <x:v>15</x:v>
      </x:c>
      <x:c r="F222" s="25" t="n">
        <x:v>15</x:v>
      </x:c>
      <x:c r="G222" s="26" t="str">
        <x:v>Not Started</x:v>
      </x:c>
      <x:c r="H222" s="26" t="str">
        <x:f>IF(G222="Not Needed","Not Needed",IF(G222="Complete","Complete",IF(G222="Blocked","Blocked",IF(G222="At Risk","At Risk",IF(OR(E222="",F222=""),"Schedule TBD",IF(F222&lt;'Overview'!$B$8,"Late",IF(E222&lt;='Overview'!$B$8+2,"Due Soon","On Track")))))))</x:f>
        <x:v>On Track</x:v>
      </x:c>
      <x:c r="I222" s="30" t="str"/>
      <x:c r="J222" s="30" t="str"/>
      <x:c r="K222" s="27" t="str"/>
      <x:c r="L222" s="27" t="str">
        <x:v>​16.10</x:v>
      </x:c>
      <x:c r="M222" s="28" t="n">
        <x:f>IF(OR(E222="",F222=""),"",F222-E222+1)</x:f>
        <x:v>1</x:v>
      </x:c>
      <x:c r="N222" s="29" t="str"/>
      <x:c r="O222" s="27" t="str"/>
      <x:c r="P222" s="20" t="str">
        <x:f>IF(AND(G222&lt;&gt;"Not Needed",G222&lt;&gt;"Complete",OR(G222="Blocked",G222="At Risk",G222="In Progress",H222="Late",H222="Due Soon")),COUNT($P$6:P221)+1,"")</x:f>
      </x:c>
    </x:row>
    <x:row r="223" ht="24" customHeight="1">
      <x:c r="A223" s="21" t="str">
        <x:v>​17.4</x:v>
      </x:c>
      <x:c r="B223" s="24" t="str">
        <x:v>General Launch</x:v>
      </x:c>
      <x:c r="C223" s="24" t="str">
        <x:v>Publish customer content</x:v>
      </x:c>
      <x:c r="D223" s="24" t="str">
        <x:v>Marketing</x:v>
      </x:c>
      <x:c r="E223" s="25" t="n">
        <x:v>15</x:v>
      </x:c>
      <x:c r="F223" s="25" t="n">
        <x:v>15</x:v>
      </x:c>
      <x:c r="G223" s="26" t="str">
        <x:v>Not Started</x:v>
      </x:c>
      <x:c r="H223" s="26" t="str">
        <x:f>IF(G223="Not Needed","Not Needed",IF(G223="Complete","Complete",IF(G223="Blocked","Blocked",IF(G223="At Risk","At Risk",IF(OR(E223="",F223=""),"Schedule TBD",IF(F223&lt;'Overview'!$B$8,"Late",IF(E223&lt;='Overview'!$B$8+2,"Due Soon","On Track")))))))</x:f>
        <x:v>On Track</x:v>
      </x:c>
      <x:c r="I223" s="30" t="str"/>
      <x:c r="J223" s="30" t="str"/>
      <x:c r="K223" s="27" t="str"/>
      <x:c r="L223" s="27" t="str">
        <x:v>​16.10</x:v>
      </x:c>
      <x:c r="M223" s="28" t="n">
        <x:f>IF(OR(E223="",F223=""),"",F223-E223+1)</x:f>
        <x:v>1</x:v>
      </x:c>
      <x:c r="N223" s="29" t="str"/>
      <x:c r="O223" s="27" t="str"/>
      <x:c r="P223" s="20" t="str">
        <x:f>IF(AND(G223&lt;&gt;"Not Needed",G223&lt;&gt;"Complete",OR(G223="Blocked",G223="At Risk",G223="In Progress",H223="Late",H223="Due Soon")),COUNT($P$6:P222)+1,"")</x:f>
      </x:c>
    </x:row>
    <x:row r="224" ht="24" customHeight="1">
      <x:c r="A224" s="21" t="str">
        <x:v>​17.5</x:v>
      </x:c>
      <x:c r="B224" s="24" t="str">
        <x:v>General Launch</x:v>
      </x:c>
      <x:c r="C224" s="24" t="str">
        <x:v>Publish employee communication</x:v>
      </x:c>
      <x:c r="D224" s="24" t="str">
        <x:v>Internal Comms</x:v>
      </x:c>
      <x:c r="E224" s="25" t="n">
        <x:v>15</x:v>
      </x:c>
      <x:c r="F224" s="25" t="n">
        <x:v>15</x:v>
      </x:c>
      <x:c r="G224" s="26" t="str">
        <x:v>Not Started</x:v>
      </x:c>
      <x:c r="H224" s="26" t="str">
        <x:f>IF(G224="Not Needed","Not Needed",IF(G224="Complete","Complete",IF(G224="Blocked","Blocked",IF(G224="At Risk","At Risk",IF(OR(E224="",F224=""),"Schedule TBD",IF(F224&lt;'Overview'!$B$8,"Late",IF(E224&lt;='Overview'!$B$8+2,"Due Soon","On Track")))))))</x:f>
        <x:v>On Track</x:v>
      </x:c>
      <x:c r="I224" s="30" t="str"/>
      <x:c r="J224" s="30" t="str"/>
      <x:c r="K224" s="27" t="str"/>
      <x:c r="L224" s="27" t="str">
        <x:v>​16.10</x:v>
      </x:c>
      <x:c r="M224" s="28" t="n">
        <x:f>IF(OR(E224="",F224=""),"",F224-E224+1)</x:f>
        <x:v>1</x:v>
      </x:c>
      <x:c r="N224" s="29" t="str"/>
      <x:c r="O224" s="27" t="str"/>
      <x:c r="P224" s="20" t="str">
        <x:f>IF(AND(G224&lt;&gt;"Not Needed",G224&lt;&gt;"Complete",OR(G224="Blocked",G224="At Risk",G224="In Progress",H224="Late",H224="Due Soon")),COUNT($P$6:P223)+1,"")</x:f>
      </x:c>
    </x:row>
    <x:row r="225" ht="24" customHeight="1">
      <x:c r="A225" s="21" t="str">
        <x:v>​17.6</x:v>
      </x:c>
      <x:c r="B225" s="24" t="str">
        <x:v>General Launch</x:v>
      </x:c>
      <x:c r="C225" s="24" t="str">
        <x:v>Begin launch reporting</x:v>
      </x:c>
      <x:c r="D225" s="24" t="str">
        <x:v>Data</x:v>
      </x:c>
      <x:c r="E225" s="25" t="n">
        <x:v>15</x:v>
      </x:c>
      <x:c r="F225" s="25" t="n">
        <x:v>15</x:v>
      </x:c>
      <x:c r="G225" s="26" t="str">
        <x:v>Not Started</x:v>
      </x:c>
      <x:c r="H225" s="26" t="str">
        <x:f>IF(G225="Not Needed","Not Needed",IF(G225="Complete","Complete",IF(G225="Blocked","Blocked",IF(G225="At Risk","At Risk",IF(OR(E225="",F225=""),"Schedule TBD",IF(F225&lt;'Overview'!$B$8,"Late",IF(E225&lt;='Overview'!$B$8+2,"Due Soon","On Track")))))))</x:f>
        <x:v>On Track</x:v>
      </x:c>
      <x:c r="I225" s="30" t="str"/>
      <x:c r="J225" s="30" t="str"/>
      <x:c r="K225" s="27" t="str">
        <x:v>Product</x:v>
      </x:c>
      <x:c r="L225" s="27" t="str">
        <x:v>​17.1–17.5</x:v>
      </x:c>
      <x:c r="M225" s="28" t="n">
        <x:f>IF(OR(E225="",F225=""),"",F225-E225+1)</x:f>
        <x:v>1</x:v>
      </x:c>
      <x:c r="N225" s="29" t="str"/>
      <x:c r="O225" s="27" t="str"/>
      <x:c r="P225" s="20" t="str">
        <x:f>IF(AND(G225&lt;&gt;"Not Needed",G225&lt;&gt;"Complete",OR(G225="Blocked",G225="At Risk",G225="In Progress",H225="Late",H225="Due Soon")),COUNT($P$6:P224)+1,"")</x:f>
      </x:c>
    </x:row>
    <x:row r="226" ht="24" customHeight="1">
      <x:c r="A226" s="21" t="str">
        <x:v>​18.1</x:v>
      </x:c>
      <x:c r="B226" s="24" t="str">
        <x:v>Hypercare / Stabilization</x:v>
      </x:c>
      <x:c r="C226" s="24" t="str">
        <x:v>Daily launch-health review</x:v>
      </x:c>
      <x:c r="D226" s="24" t="str">
        <x:v>PM</x:v>
      </x:c>
      <x:c r="E226" s="25" t="n">
        <x:v>15</x:v>
      </x:c>
      <x:c r="F226" s="25" t="n">
        <x:v>15</x:v>
      </x:c>
      <x:c r="G226" s="26" t="str">
        <x:v>Not Started</x:v>
      </x:c>
      <x:c r="H226" s="26" t="str">
        <x:f>IF(G226="Not Needed","Not Needed",IF(G226="Complete","Complete",IF(G226="Blocked","Blocked",IF(G226="At Risk","At Risk",IF(OR(E226="",F226=""),"Schedule TBD",IF(F226&lt;'Overview'!$B$8,"Late",IF(E226&lt;='Overview'!$B$8+2,"Due Soon","On Track")))))))</x:f>
        <x:v>On Track</x:v>
      </x:c>
      <x:c r="I226" s="30" t="str"/>
      <x:c r="J226" s="30" t="str"/>
      <x:c r="K226" s="27" t="str">
        <x:v>Product</x:v>
      </x:c>
      <x:c r="L226" s="27" t="str">
        <x:v>​17.1</x:v>
      </x:c>
      <x:c r="M226" s="28" t="n">
        <x:f>IF(OR(E226="",F226=""),"",F226-E226+1)</x:f>
        <x:v>1</x:v>
      </x:c>
      <x:c r="N226" s="29" t="str"/>
      <x:c r="O226" s="27" t="str"/>
      <x:c r="P226" s="20" t="str">
        <x:f>IF(AND(G226&lt;&gt;"Not Needed",G226&lt;&gt;"Complete",OR(G226="Blocked",G226="At Risk",G226="In Progress",H226="Late",H226="Due Soon")),COUNT($P$6:P225)+1,"")</x:f>
      </x:c>
    </x:row>
    <x:row r="227" ht="24" customHeight="1">
      <x:c r="A227" s="21" t="str">
        <x:v>​18.2</x:v>
      </x:c>
      <x:c r="B227" s="24" t="str">
        <x:v>Hypercare / Stabilization</x:v>
      </x:c>
      <x:c r="C227" s="24" t="str">
        <x:v>Monitor SSO success rate</x:v>
      </x:c>
      <x:c r="D227" s="24" t="str">
        <x:v>Tech</x:v>
      </x:c>
      <x:c r="E227" s="25" t="n">
        <x:v>15</x:v>
      </x:c>
      <x:c r="F227" s="25" t="n">
        <x:v>17</x:v>
      </x:c>
      <x:c r="G227" s="26" t="str">
        <x:v>Not Started</x:v>
      </x:c>
      <x:c r="H227" s="26" t="str">
        <x:f>IF(G227="Not Needed","Not Needed",IF(G227="Complete","Complete",IF(G227="Blocked","Blocked",IF(G227="At Risk","At Risk",IF(OR(E227="",F227=""),"Schedule TBD",IF(F227&lt;'Overview'!$B$8,"Late",IF(E227&lt;='Overview'!$B$8+2,"Due Soon","On Track")))))))</x:f>
        <x:v>On Track</x:v>
      </x:c>
      <x:c r="I227" s="30" t="str"/>
      <x:c r="J227" s="30" t="str"/>
      <x:c r="K227" s="27" t="str">
        <x:v>Data</x:v>
      </x:c>
      <x:c r="L227" s="27" t="str">
        <x:v>​17.1</x:v>
      </x:c>
      <x:c r="M227" s="28" t="n">
        <x:f>IF(OR(E227="",F227=""),"",F227-E227+1)</x:f>
        <x:v>3</x:v>
      </x:c>
      <x:c r="N227" s="29" t="str"/>
      <x:c r="O227" s="27" t="str"/>
      <x:c r="P227" s="20" t="str">
        <x:f>IF(AND(G227&lt;&gt;"Not Needed",G227&lt;&gt;"Complete",OR(G227="Blocked",G227="At Risk",G227="In Progress",H227="Late",H227="Due Soon")),COUNT($P$6:P226)+1,"")</x:f>
      </x:c>
    </x:row>
    <x:row r="228" ht="24" customHeight="1">
      <x:c r="A228" s="21" t="str">
        <x:v>​18.3</x:v>
      </x:c>
      <x:c r="B228" s="24" t="str">
        <x:v>Hypercare / Stabilization</x:v>
      </x:c>
      <x:c r="C228" s="24" t="str">
        <x:v>Monitor enrollment</x:v>
      </x:c>
      <x:c r="D228" s="24" t="str">
        <x:v>Product</x:v>
      </x:c>
      <x:c r="E228" s="25" t="n">
        <x:v>15</x:v>
      </x:c>
      <x:c r="F228" s="25" t="n">
        <x:v>17</x:v>
      </x:c>
      <x:c r="G228" s="26" t="str">
        <x:v>Not Started</x:v>
      </x:c>
      <x:c r="H228" s="26" t="str">
        <x:f>IF(G228="Not Needed","Not Needed",IF(G228="Complete","Complete",IF(G228="Blocked","Blocked",IF(G228="At Risk","At Risk",IF(OR(E228="",F228=""),"Schedule TBD",IF(F228&lt;'Overview'!$B$8,"Late",IF(E228&lt;='Overview'!$B$8+2,"Due Soon","On Track")))))))</x:f>
        <x:v>On Track</x:v>
      </x:c>
      <x:c r="I228" s="30" t="str"/>
      <x:c r="J228" s="30" t="str"/>
      <x:c r="K228" s="27" t="str">
        <x:v>Data</x:v>
      </x:c>
      <x:c r="L228" s="27" t="str">
        <x:v>​17.1</x:v>
      </x:c>
      <x:c r="M228" s="28" t="n">
        <x:f>IF(OR(E228="",F228=""),"",F228-E228+1)</x:f>
        <x:v>3</x:v>
      </x:c>
      <x:c r="N228" s="29" t="str"/>
      <x:c r="O228" s="27" t="str"/>
      <x:c r="P228" s="20" t="str">
        <x:f>IF(AND(G228&lt;&gt;"Not Needed",G228&lt;&gt;"Complete",OR(G228="Blocked",G228="At Risk",G228="In Progress",H228="Late",H228="Due Soon")),COUNT($P$6:P227)+1,"")</x:f>
      </x:c>
    </x:row>
    <x:row r="229" ht="24" customHeight="1">
      <x:c r="A229" s="21" t="str">
        <x:v>​18.4</x:v>
      </x:c>
      <x:c r="B229" s="24" t="str">
        <x:v>Hypercare / Stabilization</x:v>
      </x:c>
      <x:c r="C229" s="24" t="str">
        <x:v>Monitor engagement</x:v>
      </x:c>
      <x:c r="D229" s="24" t="str">
        <x:v>Product</x:v>
      </x:c>
      <x:c r="E229" s="25" t="n">
        <x:v>15</x:v>
      </x:c>
      <x:c r="F229" s="25" t="n">
        <x:v>17</x:v>
      </x:c>
      <x:c r="G229" s="26" t="str">
        <x:v>Not Started</x:v>
      </x:c>
      <x:c r="H229" s="26" t="str">
        <x:f>IF(G229="Not Needed","Not Needed",IF(G229="Complete","Complete",IF(G229="Blocked","Blocked",IF(G229="At Risk","At Risk",IF(OR(E229="",F229=""),"Schedule TBD",IF(F229&lt;'Overview'!$B$8,"Late",IF(E229&lt;='Overview'!$B$8+2,"Due Soon","On Track")))))))</x:f>
        <x:v>On Track</x:v>
      </x:c>
      <x:c r="I229" s="30" t="str"/>
      <x:c r="J229" s="30" t="str"/>
      <x:c r="K229" s="27" t="str">
        <x:v>Data</x:v>
      </x:c>
      <x:c r="L229" s="27" t="str">
        <x:v>​17.1</x:v>
      </x:c>
      <x:c r="M229" s="28" t="n">
        <x:f>IF(OR(E229="",F229=""),"",F229-E229+1)</x:f>
        <x:v>3</x:v>
      </x:c>
      <x:c r="N229" s="29" t="str"/>
      <x:c r="O229" s="27" t="str"/>
      <x:c r="P229" s="20" t="str">
        <x:f>IF(AND(G229&lt;&gt;"Not Needed",G229&lt;&gt;"Complete",OR(G229="Blocked",G229="At Risk",G229="In Progress",H229="Late",H229="Due Soon")),COUNT($P$6:P228)+1,"")</x:f>
      </x:c>
    </x:row>
    <x:row r="230" ht="24" customHeight="1">
      <x:c r="A230" s="21" t="str">
        <x:v>​18.5</x:v>
      </x:c>
      <x:c r="B230" s="24" t="str">
        <x:v>Hypercare / Stabilization</x:v>
      </x:c>
      <x:c r="C230" s="24" t="str">
        <x:v>Monitor support volume</x:v>
      </x:c>
      <x:c r="D230" s="24" t="str">
        <x:v>Operations</x:v>
      </x:c>
      <x:c r="E230" s="25" t="n">
        <x:v>15</x:v>
      </x:c>
      <x:c r="F230" s="25" t="n">
        <x:v>17</x:v>
      </x:c>
      <x:c r="G230" s="26" t="str">
        <x:v>Not Started</x:v>
      </x:c>
      <x:c r="H230" s="26" t="str">
        <x:f>IF(G230="Not Needed","Not Needed",IF(G230="Complete","Complete",IF(G230="Blocked","Blocked",IF(G230="At Risk","At Risk",IF(OR(E230="",F230=""),"Schedule TBD",IF(F230&lt;'Overview'!$B$8,"Late",IF(E230&lt;='Overview'!$B$8+2,"Due Soon","On Track")))))))</x:f>
        <x:v>On Track</x:v>
      </x:c>
      <x:c r="I230" s="30" t="str"/>
      <x:c r="J230" s="30" t="str"/>
      <x:c r="K230" s="27" t="str"/>
      <x:c r="L230" s="27" t="str">
        <x:v>​17.1</x:v>
      </x:c>
      <x:c r="M230" s="28" t="n">
        <x:f>IF(OR(E230="",F230=""),"",F230-E230+1)</x:f>
        <x:v>3</x:v>
      </x:c>
      <x:c r="N230" s="29" t="str"/>
      <x:c r="O230" s="27" t="str"/>
      <x:c r="P230" s="20" t="str">
        <x:f>IF(AND(G230&lt;&gt;"Not Needed",G230&lt;&gt;"Complete",OR(G230="Blocked",G230="At Risk",G230="In Progress",H230="Late",H230="Due Soon")),COUNT($P$6:P229)+1,"")</x:f>
      </x:c>
    </x:row>
    <x:row r="231" ht="24" customHeight="1">
      <x:c r="A231" s="21" t="str">
        <x:v>​18.6</x:v>
      </x:c>
      <x:c r="B231" s="24" t="str">
        <x:v>Hypercare / Stabilization</x:v>
      </x:c>
      <x:c r="C231" s="24" t="str">
        <x:v>Prioritize production defects</x:v>
      </x:c>
      <x:c r="D231" s="24" t="str">
        <x:v>Product</x:v>
      </x:c>
      <x:c r="E231" s="25" t="n">
        <x:v>15</x:v>
      </x:c>
      <x:c r="F231" s="25" t="n">
        <x:v>17</x:v>
      </x:c>
      <x:c r="G231" s="26" t="str">
        <x:v>Not Started</x:v>
      </x:c>
      <x:c r="H231" s="26" t="str">
        <x:f>IF(G231="Not Needed","Not Needed",IF(G231="Complete","Complete",IF(G231="Blocked","Blocked",IF(G231="At Risk","At Risk",IF(OR(E231="",F231=""),"Schedule TBD",IF(F231&lt;'Overview'!$B$8,"Late",IF(E231&lt;='Overview'!$B$8+2,"Due Soon","On Track")))))))</x:f>
        <x:v>On Track</x:v>
      </x:c>
      <x:c r="I231" s="30" t="str"/>
      <x:c r="J231" s="30" t="str"/>
      <x:c r="K231" s="27" t="str">
        <x:v>Tech</x:v>
      </x:c>
      <x:c r="L231" s="27" t="str">
        <x:v>​17.1</x:v>
      </x:c>
      <x:c r="M231" s="28" t="n">
        <x:f>IF(OR(E231="",F231=""),"",F231-E231+1)</x:f>
        <x:v>3</x:v>
      </x:c>
      <x:c r="N231" s="29" t="str"/>
      <x:c r="O231" s="27" t="str"/>
      <x:c r="P231" s="20" t="str">
        <x:f>IF(AND(G231&lt;&gt;"Not Needed",G231&lt;&gt;"Complete",OR(G231="Blocked",G231="At Risk",G231="In Progress",H231="Late",H231="Due Soon")),COUNT($P$6:P230)+1,"")</x:f>
      </x:c>
    </x:row>
    <x:row r="232" ht="24" customHeight="1">
      <x:c r="A232" s="21" t="str">
        <x:v>​18.7</x:v>
      </x:c>
      <x:c r="B232" s="24" t="str">
        <x:v>Hypercare / Stabilization</x:v>
      </x:c>
      <x:c r="C232" s="24" t="str">
        <x:v>Resolve priority issues</x:v>
      </x:c>
      <x:c r="D232" s="24" t="str">
        <x:v>Tech</x:v>
      </x:c>
      <x:c r="E232" s="25" t="n">
        <x:v>15</x:v>
      </x:c>
      <x:c r="F232" s="25" t="n">
        <x:v>17</x:v>
      </x:c>
      <x:c r="G232" s="26" t="str">
        <x:v>Not Started</x:v>
      </x:c>
      <x:c r="H232" s="26" t="str">
        <x:f>IF(G232="Not Needed","Not Needed",IF(G232="Complete","Complete",IF(G232="Blocked","Blocked",IF(G232="At Risk","At Risk",IF(OR(E232="",F232=""),"Schedule TBD",IF(F232&lt;'Overview'!$B$8,"Late",IF(E232&lt;='Overview'!$B$8+2,"Due Soon","On Track")))))))</x:f>
        <x:v>On Track</x:v>
      </x:c>
      <x:c r="I232" s="30" t="str"/>
      <x:c r="J232" s="30" t="str"/>
      <x:c r="K232" s="27" t="str">
        <x:v>Vendor</x:v>
      </x:c>
      <x:c r="L232" s="27" t="str">
        <x:v>​18.6</x:v>
      </x:c>
      <x:c r="M232" s="28" t="n">
        <x:f>IF(OR(E232="",F232=""),"",F232-E232+1)</x:f>
        <x:v>3</x:v>
      </x:c>
      <x:c r="N232" s="29" t="str"/>
      <x:c r="O232" s="27" t="str"/>
      <x:c r="P232" s="20" t="str">
        <x:f>IF(AND(G232&lt;&gt;"Not Needed",G232&lt;&gt;"Complete",OR(G232="Blocked",G232="At Risk",G232="In Progress",H232="Late",H232="Due Soon")),COUNT($P$6:P231)+1,"")</x:f>
      </x:c>
    </x:row>
    <x:row r="233" ht="24" customHeight="1">
      <x:c r="A233" s="21" t="str">
        <x:v>​18.8</x:v>
      </x:c>
      <x:c r="B233" s="24" t="str">
        <x:v>Hypercare / Stabilization</x:v>
      </x:c>
      <x:c r="C233" s="24" t="str">
        <x:v>Review early customer feedback</x:v>
      </x:c>
      <x:c r="D233" s="24" t="str">
        <x:v>Product</x:v>
      </x:c>
      <x:c r="E233" s="25" t="n">
        <x:v>16</x:v>
      </x:c>
      <x:c r="F233" s="25" t="n">
        <x:v>16</x:v>
      </x:c>
      <x:c r="G233" s="26" t="str">
        <x:v>Not Started</x:v>
      </x:c>
      <x:c r="H233" s="26" t="str">
        <x:f>IF(G233="Not Needed","Not Needed",IF(G233="Complete","Complete",IF(G233="Blocked","Blocked",IF(G233="At Risk","At Risk",IF(OR(E233="",F233=""),"Schedule TBD",IF(F233&lt;'Overview'!$B$8,"Late",IF(E233&lt;='Overview'!$B$8+2,"Due Soon","On Track")))))))</x:f>
        <x:v>On Track</x:v>
      </x:c>
      <x:c r="I233" s="30" t="str"/>
      <x:c r="J233" s="30" t="str"/>
      <x:c r="K233" s="27" t="str">
        <x:v>UX</x:v>
      </x:c>
      <x:c r="L233" s="27" t="str">
        <x:v>​17.1</x:v>
      </x:c>
      <x:c r="M233" s="28" t="n">
        <x:f>IF(OR(E233="",F233=""),"",F233-E233+1)</x:f>
        <x:v>1</x:v>
      </x:c>
      <x:c r="N233" s="29" t="str"/>
      <x:c r="O233" s="27" t="str"/>
      <x:c r="P233" s="20" t="str">
        <x:f>IF(AND(G233&lt;&gt;"Not Needed",G233&lt;&gt;"Complete",OR(G233="Blocked",G233="At Risk",G233="In Progress",H233="Late",H233="Due Soon")),COUNT($P$6:P232)+1,"")</x:f>
      </x:c>
    </x:row>
    <x:row r="234" ht="24" customHeight="1">
      <x:c r="A234" s="21" t="str">
        <x:v>​18.9</x:v>
      </x:c>
      <x:c r="B234" s="24" t="str">
        <x:v>Hypercare / Stabilization</x:v>
      </x:c>
      <x:c r="C234" s="24" t="str">
        <x:v>30-day performance review</x:v>
      </x:c>
      <x:c r="D234" s="24" t="str">
        <x:v>Product</x:v>
      </x:c>
      <x:c r="E234" s="25"/>
      <x:c r="F234" s="25"/>
      <x:c r="G234" s="26" t="str">
        <x:v>Not Started</x:v>
      </x:c>
      <x:c r="H234" s="26" t="str">
        <x:f>IF(G234="Not Needed","Not Needed",IF(G234="Complete","Complete",IF(G234="Blocked","Blocked",IF(G234="At Risk","At Risk",IF(OR(E234="",F234=""),"Schedule TBD",IF(F234&lt;'Overview'!$B$8,"Late",IF(E234&lt;='Overview'!$B$8+2,"Due Soon","On Track")))))))</x:f>
        <x:v>Schedule TBD</x:v>
      </x:c>
      <x:c r="I234" s="30" t="str"/>
      <x:c r="J234" s="30" t="str"/>
      <x:c r="K234" s="27" t="str">
        <x:v>Data</x:v>
      </x:c>
      <x:c r="L234" s="27" t="str">
        <x:v>​17.1</x:v>
      </x:c>
      <x:c r="M234" s="28" t="str">
        <x:f>IF(OR(E234="",F234=""),"",F234-E234+1)</x:f>
      </x:c>
      <x:c r="N234" s="29" t="str"/>
      <x:c r="O234" s="27" t="str">
        <x:v>Timing is listed as post-launch in the source schedule. Assign a project week when governance confirms the review date.</x:v>
      </x:c>
      <x:c r="P234" s="20" t="str">
        <x:f>IF(AND(G234&lt;&gt;"Not Needed",G234&lt;&gt;"Complete",OR(G234="Blocked",G234="At Risk",G234="In Progress",H234="Late",H234="Due Soon")),COUNT($P$6:P233)+1,"")</x:f>
      </x:c>
    </x:row>
    <x:row r="235" ht="24" customHeight="1">
      <x:c r="A235" s="21" t="str">
        <x:v>​18.10</x:v>
      </x:c>
      <x:c r="B235" s="24" t="str">
        <x:v>Hypercare / Stabilization</x:v>
      </x:c>
      <x:c r="C235" s="24" t="str">
        <x:v>Transition to BAU support</x:v>
      </x:c>
      <x:c r="D235" s="24" t="str">
        <x:v>PM</x:v>
      </x:c>
      <x:c r="E235" s="25" t="n">
        <x:v>17</x:v>
      </x:c>
      <x:c r="F235" s="25" t="n">
        <x:v>17</x:v>
      </x:c>
      <x:c r="G235" s="26" t="str">
        <x:v>Not Started</x:v>
      </x:c>
      <x:c r="H235" s="26" t="str">
        <x:f>IF(G235="Not Needed","Not Needed",IF(G235="Complete","Complete",IF(G235="Blocked","Blocked",IF(G235="At Risk","At Risk",IF(OR(E235="",F235=""),"Schedule TBD",IF(F235&lt;'Overview'!$B$8,"Late",IF(E235&lt;='Overview'!$B$8+2,"Due Soon","On Track")))))))</x:f>
        <x:v>On Track</x:v>
      </x:c>
      <x:c r="I235" s="30" t="str"/>
      <x:c r="J235" s="30" t="str"/>
      <x:c r="K235" s="27" t="str">
        <x:v>Ops</x:v>
      </x:c>
      <x:c r="L235" s="27" t="str">
        <x:v>​Stable production</x:v>
      </x:c>
      <x:c r="M235" s="28" t="n">
        <x:f>IF(OR(E235="",F235=""),"",F235-E235+1)</x:f>
        <x:v>1</x:v>
      </x:c>
      <x:c r="N235" s="29" t="str">
        <x:v>Milestone</x:v>
      </x:c>
      <x:c r="O235" s="27" t="str"/>
      <x:c r="P235" s="20" t="str">
        <x:f>IF(AND(G235&lt;&gt;"Not Needed",G235&lt;&gt;"Complete",OR(G235="Blocked",G235="At Risk",G235="In Progress",H235="Late",H235="Due Soon")),COUNT($P$6:P234)+1,"")</x:f>
      </x:c>
    </x:row>
    <x:row r="236" ht="24" customHeight="1">
      <x:c r="A236" s="21" t="str">
        <x:v>​18.11</x:v>
      </x:c>
      <x:c r="B236" s="24" t="str">
        <x:v>Hypercare / Stabilization</x:v>
      </x:c>
      <x:c r="C236" s="24" t="str">
        <x:v>Capture lessons learned</x:v>
      </x:c>
      <x:c r="D236" s="24" t="str">
        <x:v>PM</x:v>
      </x:c>
      <x:c r="E236" s="25" t="n">
        <x:v>17</x:v>
      </x:c>
      <x:c r="F236" s="25" t="n">
        <x:v>17</x:v>
      </x:c>
      <x:c r="G236" s="26" t="str">
        <x:v>Not Started</x:v>
      </x:c>
      <x:c r="H236" s="26" t="str">
        <x:f>IF(G236="Not Needed","Not Needed",IF(G236="Complete","Complete",IF(G236="Blocked","Blocked",IF(G236="At Risk","At Risk",IF(OR(E236="",F236=""),"Schedule TBD",IF(F236&lt;'Overview'!$B$8,"Late",IF(E236&lt;='Overview'!$B$8+2,"Due Soon","On Track")))))))</x:f>
        <x:v>On Track</x:v>
      </x:c>
      <x:c r="I236" s="30" t="str"/>
      <x:c r="J236" s="30" t="str"/>
      <x:c r="K236" s="27" t="str"/>
      <x:c r="L236" s="27" t="str">
        <x:v>​18.10</x:v>
      </x:c>
      <x:c r="M236" s="28" t="n">
        <x:f>IF(OR(E236="",F236=""),"",F236-E236+1)</x:f>
        <x:v>1</x:v>
      </x:c>
      <x:c r="N236" s="29" t="str"/>
      <x:c r="O236" s="27" t="str"/>
      <x:c r="P236" s="20" t="str">
        <x:f>IF(AND(G236&lt;&gt;"Not Needed",G236&lt;&gt;"Complete",OR(G236="Blocked",G236="At Risk",G236="In Progress",H236="Late",H236="Due Soon")),COUNT($P$6:P235)+1,"")</x:f>
      </x:c>
    </x:row>
    <x:row r="237" ht="24" customHeight="1">
      <x:c r="A237" s="21" t="str">
        <x:v>​18.12</x:v>
      </x:c>
      <x:c r="B237" s="24" t="str">
        <x:v>Hypercare / Stabilization</x:v>
      </x:c>
      <x:c r="C237" s="24" t="str">
        <x:v>Close project</x:v>
      </x:c>
      <x:c r="D237" s="24" t="str">
        <x:v>Sponsor</x:v>
      </x:c>
      <x:c r="E237" s="25" t="n">
        <x:v>17</x:v>
      </x:c>
      <x:c r="F237" s="25" t="n">
        <x:v>17</x:v>
      </x:c>
      <x:c r="G237" s="26" t="str">
        <x:v>Not Started</x:v>
      </x:c>
      <x:c r="H237" s="26" t="str">
        <x:f>IF(G237="Not Needed","Not Needed",IF(G237="Complete","Complete",IF(G237="Blocked","Blocked",IF(G237="At Risk","At Risk",IF(OR(E237="",F237=""),"Schedule TBD",IF(F237&lt;'Overview'!$B$8,"Late",IF(E237&lt;='Overview'!$B$8+2,"Due Soon","On Track")))))))</x:f>
        <x:v>On Track</x:v>
      </x:c>
      <x:c r="I237" s="30" t="str"/>
      <x:c r="J237" s="30" t="str"/>
      <x:c r="K237" s="27" t="str">
        <x:v>PM</x:v>
      </x:c>
      <x:c r="L237" s="27" t="str">
        <x:v>​18.11</x:v>
      </x:c>
      <x:c r="M237" s="28" t="n">
        <x:f>IF(OR(E237="",F237=""),"",F237-E237+1)</x:f>
        <x:v>1</x:v>
      </x:c>
      <x:c r="N237" s="29" t="str">
        <x:v>Milestone</x:v>
      </x:c>
      <x:c r="O237" s="27" t="str"/>
      <x:c r="P237" s="20" t="str">
        <x:f>IF(AND(G237&lt;&gt;"Not Needed",G237&lt;&gt;"Complete",OR(G237="Blocked",G237="At Risk",G237="In Progress",H237="Late",H237="Due Soon")),COUNT($P$6:P236)+1,"")</x:f>
      </x:c>
    </x:row>
    <x:row r="238" ht="42" customHeight="1">
      <x:c r="A238" s="45" t="str">
        <x:v>​G1</x:v>
      </x:c>
      <x:c r="B238" s="46" t="str">
        <x:v>Stage Gates</x:v>
      </x:c>
      <x:c r="C238" s="46" t="str">
        <x:v>G1 Scope Approved</x:v>
      </x:c>
      <x:c r="D238" s="46" t="str">
        <x:v>Sponsor</x:v>
      </x:c>
      <x:c r="E238" s="47" t="n">
        <x:v>3</x:v>
      </x:c>
      <x:c r="F238" s="47" t="n">
        <x:v>3</x:v>
      </x:c>
      <x:c r="G238" s="48" t="str">
        <x:v>Not Started</x:v>
      </x:c>
      <x:c r="H238" s="48" t="str">
        <x:f>IF(G238="Not Needed","Not Needed",IF(G238="Complete","Complete",IF(G238="Blocked","Blocked",IF(G238="At Risk","At Risk",IF(OR(E238="",F238=""),"Schedule TBD",IF(F238&lt;'Overview'!$B$8,"Late",IF(E238&lt;='Overview'!$B$8+2,"Due Soon","On Track")))))))</x:f>
        <x:v>Due Soon</x:v>
      </x:c>
      <x:c r="I238" s="49" t="str"/>
      <x:c r="J238" s="49" t="str"/>
      <x:c r="K238" s="49" t="str">
        <x:v>Product</x:v>
      </x:c>
      <x:c r="L238" s="49" t="str">
        <x:v>​2.14</x:v>
      </x:c>
      <x:c r="M238" s="50" t="n">
        <x:f>IF(OR(E238="",F238=""),"",F238-E238+1)</x:f>
        <x:v>1</x:v>
      </x:c>
      <x:c r="N238" s="51" t="str">
        <x:v>Stage Gate</x:v>
      </x:c>
      <x:c r="O238" s="49" t="str">
        <x:v>Scope, capabilities, owners, and business objectives approved</x:v>
      </x:c>
      <x:c r="P238" s="20" t="n">
        <x:f>IF(AND(G238&lt;&gt;"Not Needed",G238&lt;&gt;"Complete",OR(G238="Blocked",G238="At Risk",G238="In Progress",H238="Late",H238="Due Soon")),COUNT($P$6:P237)+1,"")</x:f>
        <x:v>70</x:v>
      </x:c>
    </x:row>
    <x:row r="239" ht="42" customHeight="1">
      <x:c r="A239" s="38" t="str">
        <x:v>​G2</x:v>
      </x:c>
      <x:c r="B239" s="39" t="str">
        <x:v>Stage Gates</x:v>
      </x:c>
      <x:c r="C239" s="39" t="str">
        <x:v>G2 Solution Approved</x:v>
      </x:c>
      <x:c r="D239" s="39" t="str">
        <x:v>Architecture</x:v>
      </x:c>
      <x:c r="E239" s="40" t="n">
        <x:v>5</x:v>
      </x:c>
      <x:c r="F239" s="40" t="n">
        <x:v>5</x:v>
      </x:c>
      <x:c r="G239" s="41" t="str">
        <x:v>Not Started</x:v>
      </x:c>
      <x:c r="H239" s="41" t="str">
        <x:f>IF(G239="Not Needed","Not Needed",IF(G239="Complete","Complete",IF(G239="Blocked","Blocked",IF(G239="At Risk","At Risk",IF(OR(E239="",F239=""),"Schedule TBD",IF(F239&lt;'Overview'!$B$8,"Late",IF(E239&lt;='Overview'!$B$8+2,"Due Soon","On Track")))))))</x:f>
        <x:v>On Track</x:v>
      </x:c>
      <x:c r="I239" s="42" t="str"/>
      <x:c r="J239" s="42" t="str"/>
      <x:c r="K239" s="42" t="str">
        <x:v>Product</x:v>
      </x:c>
      <x:c r="L239" s="42" t="str">
        <x:v>​4.17, 5.13</x:v>
      </x:c>
      <x:c r="M239" s="43" t="n">
        <x:f>IF(OR(E239="",F239=""),"",F239-E239+1)</x:f>
        <x:v>1</x:v>
      </x:c>
      <x:c r="N239" s="44" t="str">
        <x:v>Stage Gate</x:v>
      </x:c>
      <x:c r="O239" s="42" t="str">
        <x:v>Architecture, SSO, data flow, and UX approved</x:v>
      </x:c>
      <x:c r="P239" s="20" t="str">
        <x:f>IF(AND(G239&lt;&gt;"Not Needed",G239&lt;&gt;"Complete",OR(G239="Blocked",G239="At Risk",G239="In Progress",H239="Late",H239="Due Soon")),COUNT($P$6:P238)+1,"")</x:f>
      </x:c>
    </x:row>
    <x:row r="240" ht="42" customHeight="1">
      <x:c r="A240" s="38" t="str">
        <x:v>​G3</x:v>
      </x:c>
      <x:c r="B240" s="39" t="str">
        <x:v>Stage Gates</x:v>
      </x:c>
      <x:c r="C240" s="39" t="str">
        <x:v>G3 Risk Approved</x:v>
      </x:c>
      <x:c r="D240" s="39" t="str">
        <x:v>Legal</x:v>
      </x:c>
      <x:c r="E240" s="40" t="n">
        <x:v>6</x:v>
      </x:c>
      <x:c r="F240" s="40" t="n">
        <x:v>6</x:v>
      </x:c>
      <x:c r="G240" s="41" t="str">
        <x:v>Not Started</x:v>
      </x:c>
      <x:c r="H240" s="41" t="str">
        <x:f>IF(G240="Not Needed","Not Needed",IF(G240="Complete","Complete",IF(G240="Blocked","Blocked",IF(G240="At Risk","At Risk",IF(OR(E240="",F240=""),"Schedule TBD",IF(F240&lt;'Overview'!$B$8,"Late",IF(E240&lt;='Overview'!$B$8+2,"Due Soon","On Track")))))))</x:f>
        <x:v>On Track</x:v>
      </x:c>
      <x:c r="I240" s="42" t="str"/>
      <x:c r="J240" s="42" t="str"/>
      <x:c r="K240" s="42" t="str">
        <x:v>Compliance; Security</x:v>
      </x:c>
      <x:c r="L240" s="42" t="str">
        <x:v>​3.8, 6.13, 7.9</x:v>
      </x:c>
      <x:c r="M240" s="43" t="n">
        <x:f>IF(OR(E240="",F240=""),"",F240-E240+1)</x:f>
        <x:v>1</x:v>
      </x:c>
      <x:c r="N240" s="44" t="str">
        <x:v>Stage Gate</x:v>
      </x:c>
      <x:c r="O240" s="42" t="str">
        <x:v>Vendor risk, privacy, legal, compliance, and security approvals complete</x:v>
      </x:c>
      <x:c r="P240" s="20" t="str">
        <x:f>IF(AND(G240&lt;&gt;"Not Needed",G240&lt;&gt;"Complete",OR(G240="Blocked",G240="At Risk",G240="In Progress",H240="Late",H240="Due Soon")),COUNT($P$6:P239)+1,"")</x:f>
      </x:c>
    </x:row>
    <x:row r="241" ht="42" customHeight="1">
      <x:c r="A241" s="38" t="str">
        <x:v>​G4</x:v>
      </x:c>
      <x:c r="B241" s="39" t="str">
        <x:v>Stage Gates</x:v>
      </x:c>
      <x:c r="C241" s="39" t="str">
        <x:v>G4 Build Complete</x:v>
      </x:c>
      <x:c r="D241" s="39" t="str">
        <x:v>PM</x:v>
      </x:c>
      <x:c r="E241" s="40" t="n">
        <x:v>8</x:v>
      </x:c>
      <x:c r="F241" s="40" t="n">
        <x:v>8</x:v>
      </x:c>
      <x:c r="G241" s="41" t="str">
        <x:v>Not Started</x:v>
      </x:c>
      <x:c r="H241" s="41" t="str">
        <x:f>IF(G241="Not Needed","Not Needed",IF(G241="Complete","Complete",IF(G241="Blocked","Blocked",IF(G241="At Risk","At Risk",IF(OR(E241="",F241=""),"Schedule TBD",IF(F241&lt;'Overview'!$B$8,"Late",IF(E241&lt;='Overview'!$B$8+2,"Due Soon","On Track")))))))</x:f>
        <x:v>On Track</x:v>
      </x:c>
      <x:c r="I241" s="42" t="str"/>
      <x:c r="J241" s="42" t="str"/>
      <x:c r="K241" s="42" t="str">
        <x:v>Tech</x:v>
      </x:c>
      <x:c r="L241" s="42" t="str">
        <x:v>​8.16</x:v>
      </x:c>
      <x:c r="M241" s="43" t="n">
        <x:f>IF(OR(E241="",F241=""),"",F241-E241+1)</x:f>
        <x:v>1</x:v>
      </x:c>
      <x:c r="N241" s="44" t="str">
        <x:v>Stage Gate</x:v>
      </x:c>
      <x:c r="O241" s="42" t="str">
        <x:v>Configuration and integration complete in test</x:v>
      </x:c>
      <x:c r="P241" s="20" t="str">
        <x:f>IF(AND(G241&lt;&gt;"Not Needed",G241&lt;&gt;"Complete",OR(G241="Blocked",G241="At Risk",G241="In Progress",H241="Late",H241="Due Soon")),COUNT($P$6:P240)+1,"")</x:f>
      </x:c>
    </x:row>
    <x:row r="242" ht="42" customHeight="1">
      <x:c r="A242" s="38" t="str">
        <x:v>​G5</x:v>
      </x:c>
      <x:c r="B242" s="39" t="str">
        <x:v>Stage Gates</x:v>
      </x:c>
      <x:c r="C242" s="39" t="str">
        <x:v>G5 QA Complete</x:v>
      </x:c>
      <x:c r="D242" s="39" t="str">
        <x:v>QA</x:v>
      </x:c>
      <x:c r="E242" s="40" t="n">
        <x:v>10</x:v>
      </x:c>
      <x:c r="F242" s="40" t="n">
        <x:v>10</x:v>
      </x:c>
      <x:c r="G242" s="41" t="str">
        <x:v>Not Started</x:v>
      </x:c>
      <x:c r="H242" s="41" t="str">
        <x:f>IF(G242="Not Needed","Not Needed",IF(G242="Complete","Complete",IF(G242="Blocked","Blocked",IF(G242="At Risk","At Risk",IF(OR(E242="",F242=""),"Schedule TBD",IF(F242&lt;'Overview'!$B$8,"Late",IF(E242&lt;='Overview'!$B$8+2,"Due Soon","On Track")))))))</x:f>
        <x:v>On Track</x:v>
      </x:c>
      <x:c r="I242" s="42" t="str"/>
      <x:c r="J242" s="42" t="str"/>
      <x:c r="K242" s="42" t="str"/>
      <x:c r="L242" s="42" t="str">
        <x:v>​9.19</x:v>
      </x:c>
      <x:c r="M242" s="43" t="n">
        <x:f>IF(OR(E242="",F242=""),"",F242-E242+1)</x:f>
        <x:v>1</x:v>
      </x:c>
      <x:c r="N242" s="44" t="str">
        <x:v>Stage Gate</x:v>
      </x:c>
      <x:c r="O242" s="42" t="str">
        <x:v>System, mobile, browser, accessibility, analytics, and regression testing passed</x:v>
      </x:c>
      <x:c r="P242" s="20" t="str">
        <x:f>IF(AND(G242&lt;&gt;"Not Needed",G242&lt;&gt;"Complete",OR(G242="Blocked",G242="At Risk",G242="In Progress",H242="Late",H242="Due Soon")),COUNT($P$6:P241)+1,"")</x:f>
      </x:c>
    </x:row>
    <x:row r="243" ht="42" customHeight="1">
      <x:c r="A243" s="38" t="str">
        <x:v>​G6</x:v>
      </x:c>
      <x:c r="B243" s="39" t="str">
        <x:v>Stage Gates</x:v>
      </x:c>
      <x:c r="C243" s="39" t="str">
        <x:v>G6 UAT Complete</x:v>
      </x:c>
      <x:c r="D243" s="39" t="str">
        <x:v>Product</x:v>
      </x:c>
      <x:c r="E243" s="40" t="n">
        <x:v>11</x:v>
      </x:c>
      <x:c r="F243" s="40" t="n">
        <x:v>11</x:v>
      </x:c>
      <x:c r="G243" s="41" t="str">
        <x:v>Not Started</x:v>
      </x:c>
      <x:c r="H243" s="41" t="str">
        <x:f>IF(G243="Not Needed","Not Needed",IF(G243="Complete","Complete",IF(G243="Blocked","Blocked",IF(G243="At Risk","At Risk",IF(OR(E243="",F243=""),"Schedule TBD",IF(F243&lt;'Overview'!$B$8,"Late",IF(E243&lt;='Overview'!$B$8+2,"Due Soon","On Track")))))))</x:f>
        <x:v>On Track</x:v>
      </x:c>
      <x:c r="I243" s="42" t="str"/>
      <x:c r="J243" s="42" t="str"/>
      <x:c r="K243" s="42" t="str"/>
      <x:c r="L243" s="42" t="str">
        <x:v>​10.13</x:v>
      </x:c>
      <x:c r="M243" s="43" t="n">
        <x:f>IF(OR(E243="",F243=""),"",F243-E243+1)</x:f>
        <x:v>1</x:v>
      </x:c>
      <x:c r="N243" s="44" t="str">
        <x:v>Stage Gate</x:v>
      </x:c>
      <x:c r="O243" s="42" t="str">
        <x:v>Business acceptance obtained and critical defects resolved</x:v>
      </x:c>
      <x:c r="P243" s="20" t="str">
        <x:f>IF(AND(G243&lt;&gt;"Not Needed",G243&lt;&gt;"Complete",OR(G243="Blocked",G243="At Risk",G243="In Progress",H243="Late",H243="Due Soon")),COUNT($P$6:P242)+1,"")</x:f>
      </x:c>
    </x:row>
    <x:row r="244" ht="42" customHeight="1">
      <x:c r="A244" s="38" t="str">
        <x:v>​G7</x:v>
      </x:c>
      <x:c r="B244" s="39" t="str">
        <x:v>Stage Gates</x:v>
      </x:c>
      <x:c r="C244" s="39" t="str">
        <x:v>G7 Launch Ready</x:v>
      </x:c>
      <x:c r="D244" s="39" t="str">
        <x:v>Sponsor</x:v>
      </x:c>
      <x:c r="E244" s="40" t="n">
        <x:v>13</x:v>
      </x:c>
      <x:c r="F244" s="40" t="n">
        <x:v>13</x:v>
      </x:c>
      <x:c r="G244" s="41" t="str">
        <x:v>Not Started</x:v>
      </x:c>
      <x:c r="H244" s="41" t="str">
        <x:f>IF(G244="Not Needed","Not Needed",IF(G244="Complete","Complete",IF(G244="Blocked","Blocked",IF(G244="At Risk","At Risk",IF(OR(E244="",F244=""),"Schedule TBD",IF(F244&lt;'Overview'!$B$8,"Late",IF(E244&lt;='Overview'!$B$8+2,"Due Soon","On Track")))))))</x:f>
        <x:v>On Track</x:v>
      </x:c>
      <x:c r="I244" s="42" t="str"/>
      <x:c r="J244" s="42" t="str"/>
      <x:c r="K244" s="42" t="str">
        <x:v>PM</x:v>
      </x:c>
      <x:c r="L244" s="42" t="str">
        <x:v>​14.14</x:v>
      </x:c>
      <x:c r="M244" s="43" t="n">
        <x:f>IF(OR(E244="",F244=""),"",F244-E244+1)</x:f>
        <x:v>1</x:v>
      </x:c>
      <x:c r="N244" s="44" t="str">
        <x:v>Stage Gate</x:v>
      </x:c>
      <x:c r="O244" s="42" t="str">
        <x:v>Operations, support, analytics, marketing, monitoring, and rollback ready</x:v>
      </x:c>
      <x:c r="P244" s="20" t="str">
        <x:f>IF(AND(G244&lt;&gt;"Not Needed",G244&lt;&gt;"Complete",OR(G244="Blocked",G244="At Risk",G244="In Progress",H244="Late",H244="Due Soon")),COUNT($P$6:P243)+1,"")</x:f>
      </x:c>
    </x:row>
    <x:row r="245" ht="42" customHeight="1">
      <x:c r="A245" s="38" t="str">
        <x:v>​G8</x:v>
      </x:c>
      <x:c r="B245" s="39" t="str">
        <x:v>Stage Gates</x:v>
      </x:c>
      <x:c r="C245" s="39" t="str">
        <x:v>G8 Production Accepted</x:v>
      </x:c>
      <x:c r="D245" s="39" t="str">
        <x:v>Product</x:v>
      </x:c>
      <x:c r="E245" s="40" t="n">
        <x:v>13</x:v>
      </x:c>
      <x:c r="F245" s="40" t="n">
        <x:v>13</x:v>
      </x:c>
      <x:c r="G245" s="41" t="str">
        <x:v>Not Started</x:v>
      </x:c>
      <x:c r="H245" s="41" t="str">
        <x:f>IF(G245="Not Needed","Not Needed",IF(G245="Complete","Complete",IF(G245="Blocked","Blocked",IF(G245="At Risk","At Risk",IF(OR(E245="",F245=""),"Schedule TBD",IF(F245&lt;'Overview'!$B$8,"Late",IF(E245&lt;='Overview'!$B$8+2,"Due Soon","On Track")))))))</x:f>
        <x:v>On Track</x:v>
      </x:c>
      <x:c r="I245" s="42" t="str"/>
      <x:c r="J245" s="42" t="str"/>
      <x:c r="K245" s="42" t="str"/>
      <x:c r="L245" s="42" t="str">
        <x:v>​15.9</x:v>
      </x:c>
      <x:c r="M245" s="43" t="n">
        <x:f>IF(OR(E245="",F245=""),"",F245-E245+1)</x:f>
        <x:v>1</x:v>
      </x:c>
      <x:c r="N245" s="44" t="str">
        <x:v>Stage Gate</x:v>
      </x:c>
      <x:c r="O245" s="42" t="str">
        <x:v>Production smoke testing and acceptance complete</x:v>
      </x:c>
      <x:c r="P245" s="20" t="str">
        <x:f>IF(AND(G245&lt;&gt;"Not Needed",G245&lt;&gt;"Complete",OR(G245="Blocked",G245="At Risk",G245="In Progress",H245="Late",H245="Due Soon")),COUNT($P$6:P244)+1,"")</x:f>
      </x:c>
    </x:row>
    <x:row r="246" ht="42" customHeight="1">
      <x:c r="A246" s="38" t="str">
        <x:v>​G9</x:v>
      </x:c>
      <x:c r="B246" s="39" t="str">
        <x:v>Stage Gates</x:v>
      </x:c>
      <x:c r="C246" s="39" t="str">
        <x:v>G9 Market Ready</x:v>
      </x:c>
      <x:c r="D246" s="39" t="str">
        <x:v>Sponsor</x:v>
      </x:c>
      <x:c r="E246" s="40" t="n">
        <x:v>14</x:v>
      </x:c>
      <x:c r="F246" s="40" t="n">
        <x:v>14</x:v>
      </x:c>
      <x:c r="G246" s="41" t="str">
        <x:v>Not Started</x:v>
      </x:c>
      <x:c r="H246" s="41" t="str">
        <x:f>IF(G246="Not Needed","Not Needed",IF(G246="Complete","Complete",IF(G246="Blocked","Blocked",IF(G246="At Risk","At Risk",IF(OR(E246="",F246=""),"Schedule TBD",IF(F246&lt;'Overview'!$B$8,"Late",IF(E246&lt;='Overview'!$B$8+2,"Due Soon","On Track")))))))</x:f>
        <x:v>On Track</x:v>
      </x:c>
      <x:c r="I246" s="42" t="str"/>
      <x:c r="J246" s="42" t="str"/>
      <x:c r="K246" s="42" t="str">
        <x:v>Product</x:v>
      </x:c>
      <x:c r="L246" s="42" t="str">
        <x:v>​16.10</x:v>
      </x:c>
      <x:c r="M246" s="43" t="n">
        <x:f>IF(OR(E246="",F246=""),"",F246-E246+1)</x:f>
        <x:v>1</x:v>
      </x:c>
      <x:c r="N246" s="44" t="str">
        <x:v>Stage Gate</x:v>
      </x:c>
      <x:c r="O246" s="42" t="str">
        <x:v>Soft launch stable enough to begin broad promotion</x:v>
      </x:c>
      <x:c r="P246" s="20" t="str">
        <x:f>IF(AND(G246&lt;&gt;"Not Needed",G246&lt;&gt;"Complete",OR(G246="Blocked",G246="At Risk",G246="In Progress",H246="Late",H246="Due Soon")),COUNT($P$6:P245)+1,"")</x:f>
      </x:c>
    </x:row>
    <x:row r="247" ht="42" customHeight="1">
      <x:c r="A247" s="38" t="str">
        <x:v>​G10</x:v>
      </x:c>
      <x:c r="B247" s="39" t="str">
        <x:v>Stage Gates</x:v>
      </x:c>
      <x:c r="C247" s="39" t="str">
        <x:v>G10 BAU</x:v>
      </x:c>
      <x:c r="D247" s="39" t="str">
        <x:v>Sponsor</x:v>
      </x:c>
      <x:c r="E247" s="40" t="n">
        <x:v>17</x:v>
      </x:c>
      <x:c r="F247" s="40" t="n">
        <x:v>17</x:v>
      </x:c>
      <x:c r="G247" s="41" t="str">
        <x:v>Not Started</x:v>
      </x:c>
      <x:c r="H247" s="41" t="str">
        <x:f>IF(G247="Not Needed","Not Needed",IF(G247="Complete","Complete",IF(G247="Blocked","Blocked",IF(G247="At Risk","At Risk",IF(OR(E247="",F247=""),"Schedule TBD",IF(F247&lt;'Overview'!$B$8,"Late",IF(E247&lt;='Overview'!$B$8+2,"Due Soon","On Track")))))))</x:f>
        <x:v>On Track</x:v>
      </x:c>
      <x:c r="I247" s="42" t="str"/>
      <x:c r="J247" s="42" t="str"/>
      <x:c r="K247" s="42" t="str">
        <x:v>PM</x:v>
      </x:c>
      <x:c r="L247" s="42" t="str">
        <x:v>​18.10</x:v>
      </x:c>
      <x:c r="M247" s="43" t="n">
        <x:f>IF(OR(E247="",F247=""),"",F247-E247+1)</x:f>
        <x:v>1</x:v>
      </x:c>
      <x:c r="N247" s="44" t="str">
        <x:v>Stage Gate</x:v>
      </x:c>
      <x:c r="O247" s="42" t="str">
        <x:v>Hypercare complete and ownership transitioned to business-as-usual support</x:v>
      </x:c>
      <x:c r="P247" s="20" t="str">
        <x:f>IF(AND(G247&lt;&gt;"Not Needed",G247&lt;&gt;"Complete",OR(G247="Blocked",G247="At Risk",G247="In Progress",H247="Late",H247="Due Soon")),COUNT($P$6:P246)+1,"")</x:f>
      </x:c>
    </x:row>
  </x:sheetData>
  <x:conditionalFormatting sqref="G7:G247">
    <x:cfRule type="containsText" dxfId="0" priority="1" operator="containsText" text="Complete"/>
    <x:cfRule type="containsText" dxfId="1" priority="2" operator="containsText" text="In Progress"/>
    <x:cfRule type="containsText" dxfId="2" priority="3" operator="containsText" text="At Risk"/>
    <x:cfRule type="containsText" dxfId="3" priority="4" operator="containsText" text="Blocked"/>
    <x:cfRule type="containsText" dxfId="4" priority="5" operator="containsText" text="Not Started"/>
    <x:cfRule type="containsText" dxfId="5" priority="6" operator="containsText" text="Not Needed"/>
  </x:conditionalFormatting>
  <x:conditionalFormatting sqref="H7:H247">
    <x:cfRule type="containsText" dxfId="6" priority="7" operator="containsText" text="Complete"/>
    <x:cfRule type="containsText" dxfId="7" priority="8" operator="containsText" text="On Track"/>
    <x:cfRule type="containsText" dxfId="8" priority="9" operator="containsText" text="Due Soon"/>
    <x:cfRule type="containsText" dxfId="9" priority="10" operator="containsText" text="Late"/>
    <x:cfRule type="containsText" dxfId="10" priority="11" operator="containsText" text="At Risk"/>
    <x:cfRule type="containsText" dxfId="11" priority="12" operator="containsText" text="Blocked"/>
    <x:cfRule type="containsText" dxfId="12" priority="13" operator="containsText" text="Schedule TBD"/>
    <x:cfRule type="containsText" dxfId="13" priority="14" operator="containsText" text="Not Needed"/>
  </x:conditionalFormatting>
  <x:conditionalFormatting sqref="N7:N247">
    <x:cfRule type="containsText" dxfId="14" priority="15" operator="containsText" text="Milestone"/>
    <x:cfRule type="containsText" dxfId="15" priority="16" operator="containsText" text="Stage Gate"/>
  </x:conditionalFormatting>
  <x:conditionalFormatting sqref="A7:O247">
    <x:cfRule type="expression" dxfId="16" priority="17">
      <x:formula>$G7="Not Needed"</x:formula>
    </x:cfRule>
  </x:conditionalFormatting>
  <x:dataValidations count="1">
    <x:dataValidation type="list" sqref="G7:G247">
      <x:formula1>"Not Started,In Progress,At Risk,Blocked,Complete,Not Needed"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bb50490116415a"/>
  </x:tableParts>
</x:worksheet>
</file>

<file path=xl/worksheets/sheet4.xml><?xml version="1.0" encoding="utf-8"?>
<x:worksheet xmlns:x="http://schemas.openxmlformats.org/spreadsheetml/2006/main">
  <x:sheetPr>
    <x:tabColor rgb="FFD6A84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5" hidden="0" customWidth="1"/>
    <x:col min="3" max="3" width="29" hidden="0" customWidth="1"/>
    <x:col min="4" max="4" width="13" hidden="0" customWidth="1"/>
    <x:col min="5" max="5" width="26" hidden="0" customWidth="1"/>
    <x:col min="6" max="6" width="17" hidden="0" customWidth="1"/>
    <x:col min="7" max="7" width="55" hidden="0" customWidth="1"/>
  </x:cols>
  <x:sheetData>
    <x:row r="2">
      <x:c r="A2" s="94" t="str">
        <x:v>Milestones &amp; Stage Gates</x:v>
      </x:c>
      <x:c r="B2" s="95"/>
      <x:c r="C2" s="95"/>
      <x:c r="D2" s="95"/>
      <x:c r="E2" s="95"/>
      <x:c r="F2" s="95"/>
      <x:c r="G2" s="95"/>
    </x:row>
    <x:row r="3">
      <x:c r="A3" s="96" t="str">
        <x:v>Linked to the Master Plan; use Not Needed only when governance removes an event</x:v>
      </x:c>
      <x:c r="B3" s="96"/>
      <x:c r="C3" s="96"/>
      <x:c r="D3" s="96"/>
      <x:c r="E3" s="96"/>
      <x:c r="F3" s="96"/>
      <x:c r="G3" s="96"/>
    </x:row>
    <x:row r="4">
      <x:c r="A4" s="93"/>
      <x:c r="B4" s="93"/>
      <x:c r="C4" s="93"/>
      <x:c r="D4" s="93"/>
      <x:c r="E4" s="93"/>
      <x:c r="F4" s="93"/>
      <x:c r="G4" s="93"/>
    </x:row>
    <x:row r="5" ht="30" customHeight="1">
      <x:c r="A5" s="9" t="str">
        <x:v>WBS / Gate ID</x:v>
      </x:c>
      <x:c r="B5" s="9" t="str">
        <x:v>Type</x:v>
      </x:c>
      <x:c r="C5" s="9" t="str">
        <x:v>Event</x:v>
      </x:c>
      <x:c r="D5" s="9" t="str">
        <x:v>Target Week</x:v>
      </x:c>
      <x:c r="E5" s="9" t="str">
        <x:v>Accountable Owner</x:v>
      </x:c>
      <x:c r="F5" s="9" t="str">
        <x:v>Status</x:v>
      </x:c>
      <x:c r="G5" s="9" t="str">
        <x:v>Exit Criteria / Deliverable</x:v>
      </x:c>
    </x:row>
    <x:row r="6" ht="27" customHeight="1">
      <x:c r="A6" s="21" t="str">
        <x:v>​1.20</x:v>
      </x:c>
      <x:c r="B6" s="23" t="str">
        <x:v>Milestone</x:v>
      </x:c>
      <x:c r="C6" s="18" t="str">
        <x:v>Kickoff</x:v>
      </x:c>
      <x:c r="D6" s="73" t="n">
        <x:f>INDEX('Master Plan'!$E$7:$E$247,MATCH($A6,'Master Plan'!$A$7:$A$247,0))</x:f>
        <x:v>2</x:v>
      </x:c>
      <x:c r="E6" s="23" t="str">
        <x:f>INDEX('Master Plan'!$D$7:$D$247,MATCH($A6,'Master Plan'!$A$7:$A$247,0))</x:f>
        <x:v>PM</x:v>
      </x:c>
      <x:c r="F6" s="23" t="str">
        <x:f>INDEX('Master Plan'!$G$7:$G$247,MATCH($A6,'Master Plan'!$A$7:$A$247,0))</x:f>
        <x:v>Not Started</x:v>
      </x:c>
      <x:c r="G6" s="27" t="str">
        <x:v>Project team, governance, and working cadence established</x:v>
      </x:c>
    </x:row>
    <x:row r="7" ht="27" customHeight="1">
      <x:c r="A7" s="21" t="str">
        <x:v>​2.14</x:v>
      </x:c>
      <x:c r="B7" s="23" t="str">
        <x:v>Milestone</x:v>
      </x:c>
      <x:c r="C7" s="18" t="str">
        <x:v>Requirements complete</x:v>
      </x:c>
      <x:c r="D7" s="73" t="n">
        <x:f>INDEX('Master Plan'!$E$7:$E$247,MATCH($A7,'Master Plan'!$A$7:$A$247,0))</x:f>
        <x:v>3</x:v>
      </x:c>
      <x:c r="E7" s="23" t="str">
        <x:f>INDEX('Master Plan'!$D$7:$D$247,MATCH($A7,'Master Plan'!$A$7:$A$247,0))</x:f>
        <x:v>Product</x:v>
      </x:c>
      <x:c r="F7" s="23" t="str">
        <x:f>INDEX('Master Plan'!$G$7:$G$247,MATCH($A7,'Master Plan'!$A$7:$A$247,0))</x:f>
        <x:v>Not Started</x:v>
      </x:c>
      <x:c r="G7" s="27" t="str">
        <x:v>Product requirements and success measures finalized</x:v>
      </x:c>
    </x:row>
    <x:row r="8" ht="27" customHeight="1">
      <x:c r="A8" s="21" t="str">
        <x:v>​G1</x:v>
      </x:c>
      <x:c r="B8" s="23" t="str">
        <x:v>Stage Gate</x:v>
      </x:c>
      <x:c r="C8" s="18" t="str">
        <x:v>Scope Approved</x:v>
      </x:c>
      <x:c r="D8" s="73" t="n">
        <x:f>INDEX('Master Plan'!$E$7:$E$247,MATCH($A8,'Master Plan'!$A$7:$A$247,0))</x:f>
        <x:v>3</x:v>
      </x:c>
      <x:c r="E8" s="23" t="str">
        <x:f>INDEX('Master Plan'!$D$7:$D$247,MATCH($A8,'Master Plan'!$A$7:$A$247,0))</x:f>
        <x:v>Sponsor</x:v>
      </x:c>
      <x:c r="F8" s="23" t="str">
        <x:f>INDEX('Master Plan'!$G$7:$G$247,MATCH($A8,'Master Plan'!$A$7:$A$247,0))</x:f>
        <x:v>Not Started</x:v>
      </x:c>
      <x:c r="G8" s="27" t="str">
        <x:v>Scope, capabilities, owners, and business objectives approved</x:v>
      </x:c>
    </x:row>
    <x:row r="9" ht="27" customHeight="1">
      <x:c r="A9" s="21" t="str">
        <x:v>​4.17</x:v>
      </x:c>
      <x:c r="B9" s="23" t="str">
        <x:v>Milestone</x:v>
      </x:c>
      <x:c r="C9" s="18" t="str">
        <x:v>Technical design approved</x:v>
      </x:c>
      <x:c r="D9" s="73" t="n">
        <x:f>INDEX('Master Plan'!$E$7:$E$247,MATCH($A9,'Master Plan'!$A$7:$A$247,0))</x:f>
        <x:v>4</x:v>
      </x:c>
      <x:c r="E9" s="23" t="str">
        <x:f>INDEX('Master Plan'!$D$7:$D$247,MATCH($A9,'Master Plan'!$A$7:$A$247,0))</x:f>
        <x:v>Client</x:v>
      </x:c>
      <x:c r="F9" s="23" t="str">
        <x:f>INDEX('Master Plan'!$G$7:$G$247,MATCH($A9,'Master Plan'!$A$7:$A$247,0))</x:f>
        <x:v>Not Started</x:v>
      </x:c>
      <x:c r="G9" s="27" t="str">
        <x:v>Integration design and environment approach approved</x:v>
      </x:c>
    </x:row>
    <x:row r="10" ht="27" customHeight="1">
      <x:c r="A10" s="21" t="str">
        <x:v>​5.13</x:v>
      </x:c>
      <x:c r="B10" s="23" t="str">
        <x:v>Milestone</x:v>
      </x:c>
      <x:c r="C10" s="18" t="str">
        <x:v>UX approved</x:v>
      </x:c>
      <x:c r="D10" s="73" t="n">
        <x:f>INDEX('Master Plan'!$E$7:$E$247,MATCH($A10,'Master Plan'!$A$7:$A$247,0))</x:f>
        <x:v>5</x:v>
      </x:c>
      <x:c r="E10" s="23" t="str">
        <x:f>INDEX('Master Plan'!$D$7:$D$247,MATCH($A10,'Master Plan'!$A$7:$A$247,0))</x:f>
        <x:v>Product</x:v>
      </x:c>
      <x:c r="F10" s="23" t="str">
        <x:f>INDEX('Master Plan'!$G$7:$G$247,MATCH($A10,'Master Plan'!$A$7:$A$247,0))</x:f>
        <x:v>Not Started</x:v>
      </x:c>
      <x:c r="G10" s="27" t="str">
        <x:v>Web, mobile, consent, error, and support experience approved</x:v>
      </x:c>
    </x:row>
    <x:row r="11" ht="27" customHeight="1">
      <x:c r="A11" s="21" t="str">
        <x:v>​G2</x:v>
      </x:c>
      <x:c r="B11" s="23" t="str">
        <x:v>Stage Gate</x:v>
      </x:c>
      <x:c r="C11" s="18" t="str">
        <x:v>Solution Approved</x:v>
      </x:c>
      <x:c r="D11" s="73" t="n">
        <x:f>INDEX('Master Plan'!$E$7:$E$247,MATCH($A11,'Master Plan'!$A$7:$A$247,0))</x:f>
        <x:v>5</x:v>
      </x:c>
      <x:c r="E11" s="23" t="str">
        <x:f>INDEX('Master Plan'!$D$7:$D$247,MATCH($A11,'Master Plan'!$A$7:$A$247,0))</x:f>
        <x:v>Architecture</x:v>
      </x:c>
      <x:c r="F11" s="23" t="str">
        <x:f>INDEX('Master Plan'!$G$7:$G$247,MATCH($A11,'Master Plan'!$A$7:$A$247,0))</x:f>
        <x:v>Not Started</x:v>
      </x:c>
      <x:c r="G11" s="27" t="str">
        <x:v>Architecture, SSO, data flow, and UX approved</x:v>
      </x:c>
    </x:row>
    <x:row r="12" ht="27" customHeight="1">
      <x:c r="A12" s="21" t="str">
        <x:v>​6.13</x:v>
      </x:c>
      <x:c r="B12" s="23" t="str">
        <x:v>Milestone</x:v>
      </x:c>
      <x:c r="C12" s="18" t="str">
        <x:v>Legal and compliance approved</x:v>
      </x:c>
      <x:c r="D12" s="73" t="n">
        <x:f>INDEX('Master Plan'!$E$7:$E$247,MATCH($A12,'Master Plan'!$A$7:$A$247,0))</x:f>
        <x:v>6</x:v>
      </x:c>
      <x:c r="E12" s="23" t="str">
        <x:f>INDEX('Master Plan'!$D$7:$D$247,MATCH($A12,'Master Plan'!$A$7:$A$247,0))</x:f>
        <x:v>Legal</x:v>
      </x:c>
      <x:c r="F12" s="23" t="str">
        <x:f>INDEX('Master Plan'!$G$7:$G$247,MATCH($A12,'Master Plan'!$A$7:$A$247,0))</x:f>
        <x:v>Not Started</x:v>
      </x:c>
      <x:c r="G12" s="27" t="str">
        <x:v>Required legal, privacy, consent, and disclosure conditions cleared</x:v>
      </x:c>
    </x:row>
    <x:row r="13" ht="27" customHeight="1">
      <x:c r="A13" s="21" t="str">
        <x:v>​7.9</x:v>
      </x:c>
      <x:c r="B13" s="23" t="str">
        <x:v>Milestone</x:v>
      </x:c>
      <x:c r="C13" s="18" t="str">
        <x:v>Security approved</x:v>
      </x:c>
      <x:c r="D13" s="73" t="n">
        <x:f>INDEX('Master Plan'!$E$7:$E$247,MATCH($A13,'Master Plan'!$A$7:$A$247,0))</x:f>
        <x:v>6</x:v>
      </x:c>
      <x:c r="E13" s="23" t="str">
        <x:f>INDEX('Master Plan'!$D$7:$D$247,MATCH($A13,'Master Plan'!$A$7:$A$247,0))</x:f>
        <x:v>Security</x:v>
      </x:c>
      <x:c r="F13" s="23" t="str">
        <x:f>INDEX('Master Plan'!$G$7:$G$247,MATCH($A13,'Master Plan'!$A$7:$A$247,0))</x:f>
        <x:v>Not Started</x:v>
      </x:c>
      <x:c r="G13" s="27" t="str">
        <x:v>Security findings resolved and approval recorded</x:v>
      </x:c>
    </x:row>
    <x:row r="14" ht="27" customHeight="1">
      <x:c r="A14" s="21" t="str">
        <x:v>​G3</x:v>
      </x:c>
      <x:c r="B14" s="23" t="str">
        <x:v>Stage Gate</x:v>
      </x:c>
      <x:c r="C14" s="18" t="str">
        <x:v>Risk Approved</x:v>
      </x:c>
      <x:c r="D14" s="73" t="n">
        <x:f>INDEX('Master Plan'!$E$7:$E$247,MATCH($A14,'Master Plan'!$A$7:$A$247,0))</x:f>
        <x:v>6</x:v>
      </x:c>
      <x:c r="E14" s="23" t="str">
        <x:f>INDEX('Master Plan'!$D$7:$D$247,MATCH($A14,'Master Plan'!$A$7:$A$247,0))</x:f>
        <x:v>Legal</x:v>
      </x:c>
      <x:c r="F14" s="23" t="str">
        <x:f>INDEX('Master Plan'!$G$7:$G$247,MATCH($A14,'Master Plan'!$A$7:$A$247,0))</x:f>
        <x:v>Not Started</x:v>
      </x:c>
      <x:c r="G14" s="27" t="str">
        <x:v>Vendor risk, privacy, legal, compliance, and security approvals complete</x:v>
      </x:c>
    </x:row>
    <x:row r="15" ht="27" customHeight="1">
      <x:c r="A15" s="21" t="str">
        <x:v>​8.16</x:v>
      </x:c>
      <x:c r="B15" s="23" t="str">
        <x:v>Milestone</x:v>
      </x:c>
      <x:c r="C15" s="18" t="str">
        <x:v>Integration complete</x:v>
      </x:c>
      <x:c r="D15" s="73" t="n">
        <x:f>INDEX('Master Plan'!$E$7:$E$247,MATCH($A15,'Master Plan'!$A$7:$A$247,0))</x:f>
        <x:v>8</x:v>
      </x:c>
      <x:c r="E15" s="23" t="str">
        <x:f>INDEX('Master Plan'!$D$7:$D$247,MATCH($A15,'Master Plan'!$A$7:$A$247,0))</x:f>
        <x:v>PM</x:v>
      </x:c>
      <x:c r="F15" s="23" t="str">
        <x:f>INDEX('Master Plan'!$G$7:$G$247,MATCH($A15,'Master Plan'!$A$7:$A$247,0))</x:f>
        <x:v>Not Started</x:v>
      </x:c>
      <x:c r="G15" s="27" t="str">
        <x:v>Working integration and configuration complete in test</x:v>
      </x:c>
    </x:row>
    <x:row r="16" ht="27" customHeight="1">
      <x:c r="A16" s="21" t="str">
        <x:v>​G4</x:v>
      </x:c>
      <x:c r="B16" s="23" t="str">
        <x:v>Stage Gate</x:v>
      </x:c>
      <x:c r="C16" s="18" t="str">
        <x:v>Build Complete</x:v>
      </x:c>
      <x:c r="D16" s="73" t="n">
        <x:f>INDEX('Master Plan'!$E$7:$E$247,MATCH($A16,'Master Plan'!$A$7:$A$247,0))</x:f>
        <x:v>8</x:v>
      </x:c>
      <x:c r="E16" s="23" t="str">
        <x:f>INDEX('Master Plan'!$D$7:$D$247,MATCH($A16,'Master Plan'!$A$7:$A$247,0))</x:f>
        <x:v>PM</x:v>
      </x:c>
      <x:c r="F16" s="23" t="str">
        <x:f>INDEX('Master Plan'!$G$7:$G$247,MATCH($A16,'Master Plan'!$A$7:$A$247,0))</x:f>
        <x:v>Not Started</x:v>
      </x:c>
      <x:c r="G16" s="27" t="str">
        <x:v>Configuration and integration complete in test</x:v>
      </x:c>
    </x:row>
    <x:row r="17" ht="27" customHeight="1">
      <x:c r="A17" s="21" t="str">
        <x:v>​9.19</x:v>
      </x:c>
      <x:c r="B17" s="23" t="str">
        <x:v>Milestone</x:v>
      </x:c>
      <x:c r="C17" s="18" t="str">
        <x:v>QA complete</x:v>
      </x:c>
      <x:c r="D17" s="73" t="n">
        <x:f>INDEX('Master Plan'!$E$7:$E$247,MATCH($A17,'Master Plan'!$A$7:$A$247,0))</x:f>
        <x:v>10</x:v>
      </x:c>
      <x:c r="E17" s="23" t="str">
        <x:f>INDEX('Master Plan'!$D$7:$D$247,MATCH($A17,'Master Plan'!$A$7:$A$247,0))</x:f>
        <x:v>QA</x:v>
      </x:c>
      <x:c r="F17" s="23" t="str">
        <x:f>INDEX('Master Plan'!$G$7:$G$247,MATCH($A17,'Master Plan'!$A$7:$A$247,0))</x:f>
        <x:v>Not Started</x:v>
      </x:c>
      <x:c r="G17" s="27" t="str">
        <x:v>System and regression testing passed</x:v>
      </x:c>
    </x:row>
    <x:row r="18" ht="27" customHeight="1">
      <x:c r="A18" s="21" t="str">
        <x:v>​G5</x:v>
      </x:c>
      <x:c r="B18" s="23" t="str">
        <x:v>Stage Gate</x:v>
      </x:c>
      <x:c r="C18" s="18" t="str">
        <x:v>QA Complete</x:v>
      </x:c>
      <x:c r="D18" s="73" t="n">
        <x:f>INDEX('Master Plan'!$E$7:$E$247,MATCH($A18,'Master Plan'!$A$7:$A$247,0))</x:f>
        <x:v>10</x:v>
      </x:c>
      <x:c r="E18" s="23" t="str">
        <x:f>INDEX('Master Plan'!$D$7:$D$247,MATCH($A18,'Master Plan'!$A$7:$A$247,0))</x:f>
        <x:v>QA</x:v>
      </x:c>
      <x:c r="F18" s="23" t="str">
        <x:f>INDEX('Master Plan'!$G$7:$G$247,MATCH($A18,'Master Plan'!$A$7:$A$247,0))</x:f>
        <x:v>Not Started</x:v>
      </x:c>
      <x:c r="G18" s="27" t="str">
        <x:v>System, mobile, browser, accessibility, analytics, and regression testing passed</x:v>
      </x:c>
    </x:row>
    <x:row r="19" ht="27" customHeight="1">
      <x:c r="A19" s="21" t="str">
        <x:v>​10.13</x:v>
      </x:c>
      <x:c r="B19" s="23" t="str">
        <x:v>Milestone</x:v>
      </x:c>
      <x:c r="C19" s="18" t="str">
        <x:v>UAT complete</x:v>
      </x:c>
      <x:c r="D19" s="73" t="n">
        <x:f>INDEX('Master Plan'!$E$7:$E$247,MATCH($A19,'Master Plan'!$A$7:$A$247,0))</x:f>
        <x:v>11</x:v>
      </x:c>
      <x:c r="E19" s="23" t="str">
        <x:f>INDEX('Master Plan'!$D$7:$D$247,MATCH($A19,'Master Plan'!$A$7:$A$247,0))</x:f>
        <x:v>Product</x:v>
      </x:c>
      <x:c r="F19" s="23" t="str">
        <x:f>INDEX('Master Plan'!$G$7:$G$247,MATCH($A19,'Master Plan'!$A$7:$A$247,0))</x:f>
        <x:v>Not Started</x:v>
      </x:c>
      <x:c r="G19" s="27" t="str">
        <x:v>Business acceptance obtained</x:v>
      </x:c>
    </x:row>
    <x:row r="20" ht="27" customHeight="1">
      <x:c r="A20" s="21" t="str">
        <x:v>​G6</x:v>
      </x:c>
      <x:c r="B20" s="23" t="str">
        <x:v>Stage Gate</x:v>
      </x:c>
      <x:c r="C20" s="18" t="str">
        <x:v>UAT Complete</x:v>
      </x:c>
      <x:c r="D20" s="73" t="n">
        <x:f>INDEX('Master Plan'!$E$7:$E$247,MATCH($A20,'Master Plan'!$A$7:$A$247,0))</x:f>
        <x:v>11</x:v>
      </x:c>
      <x:c r="E20" s="23" t="str">
        <x:f>INDEX('Master Plan'!$D$7:$D$247,MATCH($A20,'Master Plan'!$A$7:$A$247,0))</x:f>
        <x:v>Product</x:v>
      </x:c>
      <x:c r="F20" s="23" t="str">
        <x:f>INDEX('Master Plan'!$G$7:$G$247,MATCH($A20,'Master Plan'!$A$7:$A$247,0))</x:f>
        <x:v>Not Started</x:v>
      </x:c>
      <x:c r="G20" s="27" t="str">
        <x:v>Business acceptance obtained and critical defects resolved</x:v>
      </x:c>
    </x:row>
    <x:row r="21" ht="27" customHeight="1">
      <x:c r="A21" s="21" t="str">
        <x:v>​11.14</x:v>
      </x:c>
      <x:c r="B21" s="23" t="str">
        <x:v>Milestone</x:v>
      </x:c>
      <x:c r="C21" s="18" t="str">
        <x:v>Operational readiness complete</x:v>
      </x:c>
      <x:c r="D21" s="73" t="n">
        <x:f>INDEX('Master Plan'!$E$7:$E$247,MATCH($A21,'Master Plan'!$A$7:$A$247,0))</x:f>
        <x:v>12</x:v>
      </x:c>
      <x:c r="E21" s="23" t="str">
        <x:f>INDEX('Master Plan'!$D$7:$D$247,MATCH($A21,'Master Plan'!$A$7:$A$247,0))</x:f>
        <x:v>PM</x:v>
      </x:c>
      <x:c r="F21" s="23" t="str">
        <x:f>INDEX('Master Plan'!$G$7:$G$247,MATCH($A21,'Master Plan'!$A$7:$A$247,0))</x:f>
        <x:v>Not Started</x:v>
      </x:c>
      <x:c r="G21" s="27" t="str">
        <x:v>Support, documentation, training, and escalation paths ready</x:v>
      </x:c>
    </x:row>
    <x:row r="22" ht="27" customHeight="1">
      <x:c r="A22" s="21" t="str">
        <x:v>​12.12</x:v>
      </x:c>
      <x:c r="B22" s="23" t="str">
        <x:v>Milestone</x:v>
      </x:c>
      <x:c r="C22" s="18" t="str">
        <x:v>Marketing approved</x:v>
      </x:c>
      <x:c r="D22" s="73" t="n">
        <x:f>INDEX('Master Plan'!$E$7:$E$247,MATCH($A22,'Master Plan'!$A$7:$A$247,0))</x:f>
        <x:v>12</x:v>
      </x:c>
      <x:c r="E22" s="23" t="str">
        <x:f>INDEX('Master Plan'!$D$7:$D$247,MATCH($A22,'Master Plan'!$A$7:$A$247,0))</x:f>
        <x:v>Marketing</x:v>
      </x:c>
      <x:c r="F22" s="23" t="str">
        <x:f>INDEX('Master Plan'!$G$7:$G$247,MATCH($A22,'Master Plan'!$A$7:$A$247,0))</x:f>
        <x:v>Not Started</x:v>
      </x:c>
      <x:c r="G22" s="27" t="str">
        <x:v>Launch communications approved</x:v>
      </x:c>
    </x:row>
    <x:row r="23" ht="27" customHeight="1">
      <x:c r="A23" s="21" t="str">
        <x:v>​14.14</x:v>
      </x:c>
      <x:c r="B23" s="23" t="str">
        <x:v>Milestone</x:v>
      </x:c>
      <x:c r="C23" s="18" t="str">
        <x:v>Go/No-Go</x:v>
      </x:c>
      <x:c r="D23" s="73" t="n">
        <x:f>INDEX('Master Plan'!$E$7:$E$247,MATCH($A23,'Master Plan'!$A$7:$A$247,0))</x:f>
        <x:v>13</x:v>
      </x:c>
      <x:c r="E23" s="23" t="str">
        <x:f>INDEX('Master Plan'!$D$7:$D$247,MATCH($A23,'Master Plan'!$A$7:$A$247,0))</x:f>
        <x:v>Sponsor</x:v>
      </x:c>
      <x:c r="F23" s="23" t="str">
        <x:f>INDEX('Master Plan'!$G$7:$G$247,MATCH($A23,'Master Plan'!$A$7:$A$247,0))</x:f>
        <x:v>Not Started</x:v>
      </x:c>
      <x:c r="G23" s="27" t="str">
        <x:v>Cross-functional production launch decision recorded</x:v>
      </x:c>
    </x:row>
    <x:row r="24" ht="27" customHeight="1">
      <x:c r="A24" s="21" t="str">
        <x:v>​15.1</x:v>
      </x:c>
      <x:c r="B24" s="23" t="str">
        <x:v>Milestone</x:v>
      </x:c>
      <x:c r="C24" s="18" t="str">
        <x:v>Production deployment</x:v>
      </x:c>
      <x:c r="D24" s="73" t="n">
        <x:f>INDEX('Master Plan'!$E$7:$E$247,MATCH($A24,'Master Plan'!$A$7:$A$247,0))</x:f>
        <x:v>13</x:v>
      </x:c>
      <x:c r="E24" s="23" t="str">
        <x:f>INDEX('Master Plan'!$D$7:$D$247,MATCH($A24,'Master Plan'!$A$7:$A$247,0))</x:f>
        <x:v>Fiserv</x:v>
      </x:c>
      <x:c r="F24" s="23" t="str">
        <x:f>INDEX('Master Plan'!$G$7:$G$247,MATCH($A24,'Master Plan'!$A$7:$A$247,0))</x:f>
        <x:v>Not Started</x:v>
      </x:c>
      <x:c r="G24" s="27" t="str">
        <x:v>Production configuration deployed</x:v>
      </x:c>
    </x:row>
    <x:row r="25" ht="27" customHeight="1">
      <x:c r="A25" s="21" t="str">
        <x:v>​15.9</x:v>
      </x:c>
      <x:c r="B25" s="23" t="str">
        <x:v>Milestone</x:v>
      </x:c>
      <x:c r="C25" s="18" t="str">
        <x:v>Production accepted</x:v>
      </x:c>
      <x:c r="D25" s="73" t="n">
        <x:f>INDEX('Master Plan'!$E$7:$E$247,MATCH($A25,'Master Plan'!$A$7:$A$247,0))</x:f>
        <x:v>13</x:v>
      </x:c>
      <x:c r="E25" s="23" t="str">
        <x:f>INDEX('Master Plan'!$D$7:$D$247,MATCH($A25,'Master Plan'!$A$7:$A$247,0))</x:f>
        <x:v>Product</x:v>
      </x:c>
      <x:c r="F25" s="23" t="str">
        <x:f>INDEX('Master Plan'!$G$7:$G$247,MATCH($A25,'Master Plan'!$A$7:$A$247,0))</x:f>
        <x:v>Not Started</x:v>
      </x:c>
      <x:c r="G25" s="27" t="str">
        <x:v>Production validation completed without critical defects</x:v>
      </x:c>
    </x:row>
    <x:row r="26" ht="27" customHeight="1">
      <x:c r="A26" s="21" t="str">
        <x:v>​16.1</x:v>
      </x:c>
      <x:c r="B26" s="23" t="str">
        <x:v>Milestone</x:v>
      </x:c>
      <x:c r="C26" s="18" t="str">
        <x:v>Soft launch</x:v>
      </x:c>
      <x:c r="D26" s="73" t="n">
        <x:f>INDEX('Master Plan'!$E$7:$E$247,MATCH($A26,'Master Plan'!$A$7:$A$247,0))</x:f>
        <x:v>13</x:v>
      </x:c>
      <x:c r="E26" s="23" t="str">
        <x:f>INDEX('Master Plan'!$D$7:$D$247,MATCH($A26,'Master Plan'!$A$7:$A$247,0))</x:f>
        <x:v>Product</x:v>
      </x:c>
      <x:c r="F26" s="23" t="str">
        <x:f>INDEX('Master Plan'!$G$7:$G$247,MATCH($A26,'Master Plan'!$A$7:$A$247,0))</x:f>
        <x:v>Not Started</x:v>
      </x:c>
      <x:c r="G26" s="27" t="str">
        <x:v>Capability available with broad marketing held</x:v>
      </x:c>
    </x:row>
    <x:row r="27" ht="27" customHeight="1">
      <x:c r="A27" s="21" t="str">
        <x:v>​G7</x:v>
      </x:c>
      <x:c r="B27" s="23" t="str">
        <x:v>Stage Gate</x:v>
      </x:c>
      <x:c r="C27" s="18" t="str">
        <x:v>Launch Ready</x:v>
      </x:c>
      <x:c r="D27" s="73" t="n">
        <x:f>INDEX('Master Plan'!$E$7:$E$247,MATCH($A27,'Master Plan'!$A$7:$A$247,0))</x:f>
        <x:v>13</x:v>
      </x:c>
      <x:c r="E27" s="23" t="str">
        <x:f>INDEX('Master Plan'!$D$7:$D$247,MATCH($A27,'Master Plan'!$A$7:$A$247,0))</x:f>
        <x:v>Sponsor</x:v>
      </x:c>
      <x:c r="F27" s="23" t="str">
        <x:f>INDEX('Master Plan'!$G$7:$G$247,MATCH($A27,'Master Plan'!$A$7:$A$247,0))</x:f>
        <x:v>Not Started</x:v>
      </x:c>
      <x:c r="G27" s="27" t="str">
        <x:v>Operations, support, analytics, marketing, monitoring, and rollback ready</x:v>
      </x:c>
    </x:row>
    <x:row r="28" ht="27" customHeight="1">
      <x:c r="A28" s="21" t="str">
        <x:v>​G8</x:v>
      </x:c>
      <x:c r="B28" s="23" t="str">
        <x:v>Stage Gate</x:v>
      </x:c>
      <x:c r="C28" s="18" t="str">
        <x:v>Production Accepted</x:v>
      </x:c>
      <x:c r="D28" s="73" t="n">
        <x:f>INDEX('Master Plan'!$E$7:$E$247,MATCH($A28,'Master Plan'!$A$7:$A$247,0))</x:f>
        <x:v>13</x:v>
      </x:c>
      <x:c r="E28" s="23" t="str">
        <x:f>INDEX('Master Plan'!$D$7:$D$247,MATCH($A28,'Master Plan'!$A$7:$A$247,0))</x:f>
        <x:v>Product</x:v>
      </x:c>
      <x:c r="F28" s="23" t="str">
        <x:f>INDEX('Master Plan'!$G$7:$G$247,MATCH($A28,'Master Plan'!$A$7:$A$247,0))</x:f>
        <x:v>Not Started</x:v>
      </x:c>
      <x:c r="G28" s="27" t="str">
        <x:v>Production smoke testing and acceptance complete</x:v>
      </x:c>
    </x:row>
    <x:row r="29" ht="27" customHeight="1">
      <x:c r="A29" s="21" t="str">
        <x:v>​16.10</x:v>
      </x:c>
      <x:c r="B29" s="23" t="str">
        <x:v>Milestone</x:v>
      </x:c>
      <x:c r="C29" s="18" t="str">
        <x:v>Market ready</x:v>
      </x:c>
      <x:c r="D29" s="73" t="n">
        <x:f>INDEX('Master Plan'!$E$7:$E$247,MATCH($A29,'Master Plan'!$A$7:$A$247,0))</x:f>
        <x:v>14</x:v>
      </x:c>
      <x:c r="E29" s="23" t="str">
        <x:f>INDEX('Master Plan'!$D$7:$D$247,MATCH($A29,'Master Plan'!$A$7:$A$247,0))</x:f>
        <x:v>Sponsor</x:v>
      </x:c>
      <x:c r="F29" s="23" t="str">
        <x:f>INDEX('Master Plan'!$G$7:$G$247,MATCH($A29,'Master Plan'!$A$7:$A$247,0))</x:f>
        <x:v>Not Started</x:v>
      </x:c>
      <x:c r="G29" s="27" t="str">
        <x:v>Soft-launch health supports broad promotion</x:v>
      </x:c>
    </x:row>
    <x:row r="30" ht="27" customHeight="1">
      <x:c r="A30" s="21" t="str">
        <x:v>​G9</x:v>
      </x:c>
      <x:c r="B30" s="23" t="str">
        <x:v>Stage Gate</x:v>
      </x:c>
      <x:c r="C30" s="18" t="str">
        <x:v>Market Ready</x:v>
      </x:c>
      <x:c r="D30" s="73" t="n">
        <x:f>INDEX('Master Plan'!$E$7:$E$247,MATCH($A30,'Master Plan'!$A$7:$A$247,0))</x:f>
        <x:v>14</x:v>
      </x:c>
      <x:c r="E30" s="23" t="str">
        <x:f>INDEX('Master Plan'!$D$7:$D$247,MATCH($A30,'Master Plan'!$A$7:$A$247,0))</x:f>
        <x:v>Sponsor</x:v>
      </x:c>
      <x:c r="F30" s="23" t="str">
        <x:f>INDEX('Master Plan'!$G$7:$G$247,MATCH($A30,'Master Plan'!$A$7:$A$247,0))</x:f>
        <x:v>Not Started</x:v>
      </x:c>
      <x:c r="G30" s="27" t="str">
        <x:v>Soft launch stable enough to begin broad promotion</x:v>
      </x:c>
    </x:row>
    <x:row r="31" ht="27" customHeight="1">
      <x:c r="A31" s="21" t="str">
        <x:v>​17.1</x:v>
      </x:c>
      <x:c r="B31" s="23" t="str">
        <x:v>Milestone</x:v>
      </x:c>
      <x:c r="C31" s="18" t="str">
        <x:v>General launch</x:v>
      </x:c>
      <x:c r="D31" s="73" t="n">
        <x:f>INDEX('Master Plan'!$E$7:$E$247,MATCH($A31,'Master Plan'!$A$7:$A$247,0))</x:f>
        <x:v>15</x:v>
      </x:c>
      <x:c r="E31" s="23" t="str">
        <x:f>INDEX('Master Plan'!$D$7:$D$247,MATCH($A31,'Master Plan'!$A$7:$A$247,0))</x:f>
        <x:v>Marketing</x:v>
      </x:c>
      <x:c r="F31" s="23" t="str">
        <x:f>INDEX('Master Plan'!$G$7:$G$247,MATCH($A31,'Master Plan'!$A$7:$A$247,0))</x:f>
        <x:v>Not Started</x:v>
      </x:c>
      <x:c r="G31" s="27" t="str">
        <x:v>OLB promotion activated</x:v>
      </x:c>
    </x:row>
    <x:row r="32" ht="27" customHeight="1">
      <x:c r="A32" s="21" t="str">
        <x:v>​18.10</x:v>
      </x:c>
      <x:c r="B32" s="23" t="str">
        <x:v>Milestone</x:v>
      </x:c>
      <x:c r="C32" s="18" t="str">
        <x:v>BAU transition</x:v>
      </x:c>
      <x:c r="D32" s="73" t="n">
        <x:f>INDEX('Master Plan'!$E$7:$E$247,MATCH($A32,'Master Plan'!$A$7:$A$247,0))</x:f>
        <x:v>17</x:v>
      </x:c>
      <x:c r="E32" s="23" t="str">
        <x:f>INDEX('Master Plan'!$D$7:$D$247,MATCH($A32,'Master Plan'!$A$7:$A$247,0))</x:f>
        <x:v>PM</x:v>
      </x:c>
      <x:c r="F32" s="23" t="str">
        <x:f>INDEX('Master Plan'!$G$7:$G$247,MATCH($A32,'Master Plan'!$A$7:$A$247,0))</x:f>
        <x:v>Not Started</x:v>
      </x:c>
      <x:c r="G32" s="27" t="str">
        <x:v>Ongoing ownership transferred to operations</x:v>
      </x:c>
    </x:row>
    <x:row r="33" ht="27" customHeight="1">
      <x:c r="A33" s="21" t="str">
        <x:v>​18.12</x:v>
      </x:c>
      <x:c r="B33" s="23" t="str">
        <x:v>Milestone</x:v>
      </x:c>
      <x:c r="C33" s="18" t="str">
        <x:v>Project close</x:v>
      </x:c>
      <x:c r="D33" s="73" t="n">
        <x:f>INDEX('Master Plan'!$E$7:$E$247,MATCH($A33,'Master Plan'!$A$7:$A$247,0))</x:f>
        <x:v>17</x:v>
      </x:c>
      <x:c r="E33" s="23" t="str">
        <x:f>INDEX('Master Plan'!$D$7:$D$247,MATCH($A33,'Master Plan'!$A$7:$A$247,0))</x:f>
        <x:v>Sponsor</x:v>
      </x:c>
      <x:c r="F33" s="23" t="str">
        <x:f>INDEX('Master Plan'!$G$7:$G$247,MATCH($A33,'Master Plan'!$A$7:$A$247,0))</x:f>
        <x:v>Not Started</x:v>
      </x:c>
      <x:c r="G33" s="27" t="str">
        <x:v>Lessons learned captured and project closure approved</x:v>
      </x:c>
    </x:row>
    <x:row r="34" ht="27" customHeight="1">
      <x:c r="A34" s="21" t="str">
        <x:v>​G10</x:v>
      </x:c>
      <x:c r="B34" s="23" t="str">
        <x:v>Stage Gate</x:v>
      </x:c>
      <x:c r="C34" s="18" t="str">
        <x:v>BAU</x:v>
      </x:c>
      <x:c r="D34" s="73" t="n">
        <x:f>INDEX('Master Plan'!$E$7:$E$247,MATCH($A34,'Master Plan'!$A$7:$A$247,0))</x:f>
        <x:v>17</x:v>
      </x:c>
      <x:c r="E34" s="23" t="str">
        <x:f>INDEX('Master Plan'!$D$7:$D$247,MATCH($A34,'Master Plan'!$A$7:$A$247,0))</x:f>
        <x:v>Sponsor</x:v>
      </x:c>
      <x:c r="F34" s="23" t="str">
        <x:f>INDEX('Master Plan'!$G$7:$G$247,MATCH($A34,'Master Plan'!$A$7:$A$247,0))</x:f>
        <x:v>Not Started</x:v>
      </x:c>
      <x:c r="G34" s="27" t="str">
        <x:v>Hypercare complete and ownership transitioned to business-as-usual support</x:v>
      </x:c>
    </x:row>
  </x:sheetData>
  <x:conditionalFormatting sqref="B6:B34">
    <x:cfRule type="containsText" dxfId="59" priority="1" operator="containsText" text="Milestone"/>
    <x:cfRule type="containsText" dxfId="60" priority="2" operator="containsText" text="Stage Gate"/>
  </x:conditionalFormatting>
  <x:conditionalFormatting sqref="F6:F34">
    <x:cfRule type="containsText" dxfId="61" priority="3" operator="containsText" text="Complete"/>
    <x:cfRule type="containsText" dxfId="62" priority="4" operator="containsText" text="In Progress"/>
    <x:cfRule type="containsText" dxfId="63" priority="5" operator="containsText" text="At Risk"/>
    <x:cfRule type="containsText" dxfId="64" priority="6" operator="containsText" text="Blocked"/>
    <x:cfRule type="containsText" dxfId="65" priority="7" operator="containsText" text="Not Started"/>
    <x:cfRule type="containsText" dxfId="66" priority="8" operator="containsText" text="Not Needed"/>
  </x:conditionalFormatting>
  <x:conditionalFormatting sqref="A6:G34">
    <x:cfRule type="expression" dxfId="67" priority="9">
      <x:formula>$F6="Not Needed"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b0f1eadad764269"/>
  </x:tableParts>
</x:worksheet>
</file>

<file path=xl/worksheets/sheet5.xml><?xml version="1.0" encoding="utf-8"?>
<x:worksheet xmlns:x="http://schemas.openxmlformats.org/spreadsheetml/2006/main">
  <x:sheetPr>
    <x:tabColor rgb="FF2F7976"/>
  </x:sheetPr>
  <x:sheetViews>
    <x:sheetView showGridLines="0" workbookViewId="0">
      <x:pane xSplit="4" topLeftCell="E1" activePane="topRight" state="frozen"/>
    </x:sheetView>
  </x:sheetViews>
  <x:sheetFormatPr defaultRowHeight="15"/>
  <x:cols>
    <x:col min="1" max="1" width="31" hidden="0" customWidth="1"/>
    <x:col min="2" max="2" width="10" hidden="0" customWidth="1"/>
    <x:col min="3" max="3" width="22" hidden="0" customWidth="1"/>
    <x:col min="4" max="4" width="56" hidden="0" customWidth="1"/>
    <x:col min="5" max="5" width="5" hidden="0" customWidth="1"/>
    <x:col min="6" max="6" width="5" hidden="0" customWidth="1"/>
    <x:col min="7" max="7" width="5" hidden="0" customWidth="1"/>
    <x:col min="8" max="8" width="5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  <x:col min="21" max="21" width="5" hidden="0" customWidth="1"/>
  </x:cols>
  <x:sheetData>
    <x:row r="2">
      <x:c r="A2" s="94" t="str">
        <x:v>Implementation Timeline</x:v>
      </x:c>
      <x:c r="B2" s="95"/>
      <x:c r="C2" s="95"/>
      <x:c r="D2" s="95"/>
      <x:c r="E2" s="95"/>
      <x:c r="F2" s="95"/>
      <x:c r="G2" s="95"/>
      <x:c r="H2" s="95"/>
      <x:c r="I2" s="95"/>
      <x:c r="J2" s="95"/>
      <x:c r="K2" s="95"/>
      <x:c r="L2" s="95"/>
      <x:c r="M2" s="95"/>
      <x:c r="N2" s="95"/>
      <x:c r="O2" s="95"/>
      <x:c r="P2" s="95"/>
      <x:c r="Q2" s="95"/>
      <x:c r="R2" s="95"/>
      <x:c r="S2" s="95"/>
      <x:c r="T2" s="95"/>
      <x:c r="U2" s="95"/>
    </x:row>
    <x:row r="3">
      <x:c r="A3" s="96" t="str">
        <x:v>Gantt-style view by relative project week</x:v>
      </x:c>
      <x:c r="B3" s="96"/>
      <x:c r="C3" s="96"/>
      <x:c r="D3" s="96"/>
      <x:c r="E3" s="96"/>
      <x:c r="F3" s="96"/>
      <x:c r="G3" s="96"/>
      <x:c r="H3" s="96"/>
      <x:c r="I3" s="96"/>
      <x:c r="J3" s="96"/>
      <x:c r="K3" s="96"/>
      <x:c r="L3" s="96"/>
      <x:c r="M3" s="96"/>
      <x:c r="N3" s="96"/>
      <x:c r="O3" s="96"/>
      <x:c r="P3" s="96"/>
      <x:c r="Q3" s="96"/>
      <x:c r="R3" s="96"/>
      <x:c r="S3" s="96"/>
      <x:c r="T3" s="96"/>
      <x:c r="U3" s="96"/>
    </x:row>
    <x:row r="4">
      <x:c r="A4" s="93"/>
      <x:c r="B4" s="93"/>
      <x:c r="C4" s="93"/>
      <x:c r="D4" s="93"/>
      <x:c r="E4" s="93"/>
      <x:c r="F4" s="93"/>
      <x:c r="G4" s="93"/>
      <x:c r="H4" s="93"/>
      <x:c r="I4" s="93"/>
      <x:c r="J4" s="93"/>
      <x:c r="K4" s="93"/>
      <x:c r="L4" s="93"/>
      <x:c r="M4" s="93"/>
      <x:c r="N4" s="93"/>
      <x:c r="O4" s="93"/>
      <x:c r="P4" s="93"/>
      <x:c r="Q4" s="93"/>
      <x:c r="R4" s="93"/>
      <x:c r="S4" s="93"/>
      <x:c r="T4" s="93"/>
      <x:c r="U4" s="93"/>
    </x:row>
    <x:row r="5" ht="30" customHeight="1">
      <x:c r="A5" s="9" t="str">
        <x:v>Delivery Stage</x:v>
      </x:c>
      <x:c r="B5" s="9" t="str">
        <x:v>Start</x:v>
      </x:c>
      <x:c r="C5" s="9" t="str">
        <x:v>End</x:v>
      </x:c>
      <x:c r="D5" s="9" t="str">
        <x:v>Primary Focus</x:v>
      </x:c>
      <x:c r="E5" s="119" t="n">
        <x:v>1</x:v>
      </x:c>
      <x:c r="F5" s="119" t="n">
        <x:v>2</x:v>
      </x:c>
      <x:c r="G5" s="119" t="n">
        <x:v>3</x:v>
      </x:c>
      <x:c r="H5" s="119" t="n">
        <x:v>4</x:v>
      </x:c>
      <x:c r="I5" s="119" t="n">
        <x:v>5</x:v>
      </x:c>
      <x:c r="J5" s="119" t="n">
        <x:v>6</x:v>
      </x:c>
      <x:c r="K5" s="119" t="n">
        <x:v>7</x:v>
      </x:c>
      <x:c r="L5" s="119" t="n">
        <x:v>8</x:v>
      </x:c>
      <x:c r="M5" s="119" t="n">
        <x:v>9</x:v>
      </x:c>
      <x:c r="N5" s="119" t="n">
        <x:v>10</x:v>
      </x:c>
      <x:c r="O5" s="119" t="n">
        <x:v>11</x:v>
      </x:c>
      <x:c r="P5" s="119" t="n">
        <x:v>12</x:v>
      </x:c>
      <x:c r="Q5" s="119" t="n">
        <x:v>13</x:v>
      </x:c>
      <x:c r="R5" s="119" t="n">
        <x:v>14</x:v>
      </x:c>
      <x:c r="S5" s="119" t="n">
        <x:v>15</x:v>
      </x:c>
      <x:c r="T5" s="119" t="n">
        <x:v>16</x:v>
      </x:c>
      <x:c r="U5" s="119" t="n">
        <x:v>17</x:v>
      </x:c>
    </x:row>
    <x:row r="6" ht="29" customHeight="1">
      <x:c r="A6" s="64" t="str">
        <x:v>Define</x:v>
      </x:c>
      <x:c r="B6" s="23" t="n">
        <x:v>1</x:v>
      </x:c>
      <x:c r="C6" s="23" t="n">
        <x:v>5</x:v>
      </x:c>
      <x:c r="D6" s="27" t="str">
        <x:v>Scope, product, vendors, technical design, UX, and risk review</x:v>
      </x:c>
      <x:c r="E6" s="141"/>
      <x:c r="F6" s="141"/>
      <x:c r="G6" s="141"/>
      <x:c r="H6" s="141"/>
      <x:c r="I6" s="141"/>
      <x:c r="J6" s="141"/>
      <x:c r="K6" s="141"/>
      <x:c r="L6" s="141"/>
      <x:c r="M6" s="141"/>
      <x:c r="N6" s="141"/>
      <x:c r="O6" s="141"/>
      <x:c r="P6" s="141"/>
      <x:c r="Q6" s="141"/>
      <x:c r="R6" s="141"/>
      <x:c r="S6" s="141"/>
      <x:c r="T6" s="141"/>
      <x:c r="U6" s="141"/>
    </x:row>
    <x:row r="7" ht="29" customHeight="1">
      <x:c r="A7" s="64" t="str">
        <x:v>Build</x:v>
      </x:c>
      <x:c r="B7" s="23" t="n">
        <x:v>5</x:v>
      </x:c>
      <x:c r="C7" s="23" t="n">
        <x:v>8</x:v>
      </x:c>
      <x:c r="D7" s="27" t="str">
        <x:v>Fiserv and SavvyMoney configuration, SSO, navigation, and analytics</x:v>
      </x:c>
      <x:c r="E7" s="141"/>
      <x:c r="F7" s="141"/>
      <x:c r="G7" s="141"/>
      <x:c r="H7" s="141"/>
      <x:c r="I7" s="141"/>
      <x:c r="J7" s="141"/>
      <x:c r="K7" s="141"/>
      <x:c r="L7" s="141"/>
      <x:c r="M7" s="141"/>
      <x:c r="N7" s="141"/>
      <x:c r="O7" s="141"/>
      <x:c r="P7" s="141"/>
      <x:c r="Q7" s="141"/>
      <x:c r="R7" s="141"/>
      <x:c r="S7" s="141"/>
      <x:c r="T7" s="141"/>
      <x:c r="U7" s="141"/>
    </x:row>
    <x:row r="8" ht="29" customHeight="1">
      <x:c r="A8" s="64" t="str">
        <x:v>Prove</x:v>
      </x:c>
      <x:c r="B8" s="23" t="n">
        <x:v>7</x:v>
      </x:c>
      <x:c r="C8" s="23" t="n">
        <x:v>11</x:v>
      </x:c>
      <x:c r="D8" s="27" t="str">
        <x:v>QA, UAT, accessibility, security validation, and defects</x:v>
      </x:c>
      <x:c r="E8" s="141"/>
      <x:c r="F8" s="141"/>
      <x:c r="G8" s="141"/>
      <x:c r="H8" s="141"/>
      <x:c r="I8" s="141"/>
      <x:c r="J8" s="141"/>
      <x:c r="K8" s="141"/>
      <x:c r="L8" s="141"/>
      <x:c r="M8" s="141"/>
      <x:c r="N8" s="141"/>
      <x:c r="O8" s="141"/>
      <x:c r="P8" s="141"/>
      <x:c r="Q8" s="141"/>
      <x:c r="R8" s="141"/>
      <x:c r="S8" s="141"/>
      <x:c r="T8" s="141"/>
      <x:c r="U8" s="141"/>
    </x:row>
    <x:row r="9" ht="29" customHeight="1">
      <x:c r="A9" s="64" t="str">
        <x:v>Prepare</x:v>
      </x:c>
      <x:c r="B9" s="23" t="n">
        <x:v>8</x:v>
      </x:c>
      <x:c r="C9" s="23" t="n">
        <x:v>13</x:v>
      </x:c>
      <x:c r="D9" s="27" t="str">
        <x:v>Operations, support, training, communications, and release approvals</x:v>
      </x:c>
      <x:c r="E9" s="141"/>
      <x:c r="F9" s="141"/>
      <x:c r="G9" s="141"/>
      <x:c r="H9" s="141"/>
      <x:c r="I9" s="141"/>
      <x:c r="J9" s="141"/>
      <x:c r="K9" s="141"/>
      <x:c r="L9" s="141"/>
      <x:c r="M9" s="141"/>
      <x:c r="N9" s="141"/>
      <x:c r="O9" s="141"/>
      <x:c r="P9" s="141"/>
      <x:c r="Q9" s="141"/>
      <x:c r="R9" s="141"/>
      <x:c r="S9" s="141"/>
      <x:c r="T9" s="141"/>
      <x:c r="U9" s="141"/>
    </x:row>
    <x:row r="10" ht="29" customHeight="1">
      <x:c r="A10" s="65" t="str">
        <x:v>Release</x:v>
      </x:c>
      <x:c r="B10" s="67" t="n">
        <x:v>13</x:v>
      </x:c>
      <x:c r="C10" s="67" t="n">
        <x:v>17</x:v>
      </x:c>
      <x:c r="D10" s="68" t="str">
        <x:v>Production, soft launch, general launch, and hypercare</x:v>
      </x:c>
      <x:c r="E10" s="142"/>
      <x:c r="F10" s="142"/>
      <x:c r="G10" s="142"/>
      <x:c r="H10" s="142"/>
      <x:c r="I10" s="142"/>
      <x:c r="J10" s="142"/>
      <x:c r="K10" s="142"/>
      <x:c r="L10" s="142"/>
      <x:c r="M10" s="142"/>
      <x:c r="N10" s="142"/>
      <x:c r="O10" s="142"/>
      <x:c r="P10" s="142"/>
      <x:c r="Q10" s="142"/>
      <x:c r="R10" s="142"/>
      <x:c r="S10" s="142"/>
      <x:c r="T10" s="142"/>
      <x:c r="U10" s="142"/>
    </x:row>
    <x:row r="11">
      <x:c r="A11" s="93"/>
      <x:c r="B11" s="141"/>
      <x:c r="C11" s="141"/>
      <x:c r="D11" s="143"/>
      <x:c r="E11" s="141"/>
      <x:c r="F11" s="141"/>
      <x:c r="G11" s="141"/>
      <x:c r="H11" s="141"/>
      <x:c r="I11" s="141"/>
      <x:c r="J11" s="141"/>
      <x:c r="K11" s="141"/>
      <x:c r="L11" s="141"/>
      <x:c r="M11" s="141"/>
      <x:c r="N11" s="141"/>
      <x:c r="O11" s="141"/>
      <x:c r="P11" s="141"/>
      <x:c r="Q11" s="141"/>
      <x:c r="R11" s="141"/>
      <x:c r="S11" s="141"/>
      <x:c r="T11" s="141"/>
      <x:c r="U11" s="141"/>
    </x:row>
    <x:row r="12">
      <x:c r="A12" s="93"/>
      <x:c r="B12" s="141"/>
      <x:c r="C12" s="141"/>
      <x:c r="D12" s="143"/>
      <x:c r="E12" s="141"/>
      <x:c r="F12" s="141"/>
      <x:c r="G12" s="141"/>
      <x:c r="H12" s="141"/>
      <x:c r="I12" s="141"/>
      <x:c r="J12" s="141"/>
      <x:c r="K12" s="141"/>
      <x:c r="L12" s="141"/>
      <x:c r="M12" s="141"/>
      <x:c r="N12" s="141"/>
      <x:c r="O12" s="141"/>
      <x:c r="P12" s="141"/>
      <x:c r="Q12" s="141"/>
      <x:c r="R12" s="141"/>
      <x:c r="S12" s="141"/>
      <x:c r="T12" s="141"/>
      <x:c r="U12" s="141"/>
    </x:row>
    <x:row r="13">
      <x:c r="A13" s="144" t="str">
        <x:v>Detailed workstreams</x:v>
      </x:c>
      <x:c r="B13" s="145"/>
      <x:c r="C13" s="145"/>
      <x:c r="D13" s="146"/>
      <x:c r="E13" s="145"/>
      <x:c r="F13" s="145"/>
      <x:c r="G13" s="145"/>
      <x:c r="H13" s="145"/>
      <x:c r="I13" s="145"/>
      <x:c r="J13" s="145"/>
      <x:c r="K13" s="145"/>
      <x:c r="L13" s="145"/>
      <x:c r="M13" s="145"/>
      <x:c r="N13" s="145"/>
      <x:c r="O13" s="145"/>
      <x:c r="P13" s="145"/>
      <x:c r="Q13" s="145"/>
      <x:c r="R13" s="145"/>
      <x:c r="S13" s="145"/>
      <x:c r="T13" s="145"/>
      <x:c r="U13" s="145"/>
    </x:row>
    <x:row r="14" ht="30" customHeight="1">
      <x:c r="A14" s="9" t="str">
        <x:v>Phase / Workstream</x:v>
      </x:c>
      <x:c r="B14" s="9" t="str">
        <x:v>Start</x:v>
      </x:c>
      <x:c r="C14" s="9" t="str">
        <x:v>End</x:v>
      </x:c>
      <x:c r="D14" s="9" t="str">
        <x:v>Exit / Deliverable</x:v>
      </x:c>
      <x:c r="E14" s="119" t="n">
        <x:v>1</x:v>
      </x:c>
      <x:c r="F14" s="119" t="n">
        <x:v>2</x:v>
      </x:c>
      <x:c r="G14" s="119" t="n">
        <x:v>3</x:v>
      </x:c>
      <x:c r="H14" s="119" t="n">
        <x:v>4</x:v>
      </x:c>
      <x:c r="I14" s="119" t="n">
        <x:v>5</x:v>
      </x:c>
      <x:c r="J14" s="119" t="n">
        <x:v>6</x:v>
      </x:c>
      <x:c r="K14" s="119" t="n">
        <x:v>7</x:v>
      </x:c>
      <x:c r="L14" s="119" t="n">
        <x:v>8</x:v>
      </x:c>
      <x:c r="M14" s="119" t="n">
        <x:v>9</x:v>
      </x:c>
      <x:c r="N14" s="119" t="n">
        <x:v>10</x:v>
      </x:c>
      <x:c r="O14" s="119" t="n">
        <x:v>11</x:v>
      </x:c>
      <x:c r="P14" s="119" t="n">
        <x:v>12</x:v>
      </x:c>
      <x:c r="Q14" s="119" t="n">
        <x:v>13</x:v>
      </x:c>
      <x:c r="R14" s="119" t="n">
        <x:v>14</x:v>
      </x:c>
      <x:c r="S14" s="119" t="n">
        <x:v>15</x:v>
      </x:c>
      <x:c r="T14" s="119" t="n">
        <x:v>16</x:v>
      </x:c>
      <x:c r="U14" s="119" t="n">
        <x:v>17</x:v>
      </x:c>
    </x:row>
    <x:row r="15" ht="28" customHeight="1">
      <x:c r="A15" s="64" t="str">
        <x:v>Project Initiation</x:v>
      </x:c>
      <x:c r="B15" s="23" t="n">
        <x:f>MIN('Master Plan'!$E$7:$E$26)</x:f>
        <x:v>1</x:v>
      </x:c>
      <x:c r="C15" s="23" t="n">
        <x:f>MAX('Master Plan'!$F$7:$F$26)</x:f>
        <x:v>2</x:v>
      </x:c>
      <x:c r="D15" s="27" t="str">
        <x:v>Charter, governance, team, and kickoff complete</x:v>
      </x:c>
      <x:c r="E15" s="141"/>
      <x:c r="F15" s="141"/>
      <x:c r="G15" s="141"/>
      <x:c r="H15" s="141"/>
      <x:c r="I15" s="141"/>
      <x:c r="J15" s="141"/>
      <x:c r="K15" s="141"/>
      <x:c r="L15" s="141"/>
      <x:c r="M15" s="141"/>
      <x:c r="N15" s="141"/>
      <x:c r="O15" s="141"/>
      <x:c r="P15" s="141"/>
      <x:c r="Q15" s="141"/>
      <x:c r="R15" s="141"/>
      <x:c r="S15" s="141"/>
      <x:c r="T15" s="141"/>
      <x:c r="U15" s="141"/>
    </x:row>
    <x:row r="16" ht="28" customHeight="1">
      <x:c r="A16" s="64" t="str">
        <x:v>Business &amp; Product Definition</x:v>
      </x:c>
      <x:c r="B16" s="23" t="n">
        <x:f>MIN('Master Plan'!$E$27:$E$40)</x:f>
        <x:v>1</x:v>
      </x:c>
      <x:c r="C16" s="23" t="n">
        <x:f>MAX('Master Plan'!$F$27:$F$40)</x:f>
        <x:v>3</x:v>
      </x:c>
      <x:c r="D16" s="27" t="str">
        <x:v>Product scope, customer experience, and requirements approved</x:v>
      </x:c>
      <x:c r="E16" s="141"/>
      <x:c r="F16" s="141"/>
      <x:c r="G16" s="141"/>
      <x:c r="H16" s="141"/>
      <x:c r="I16" s="141"/>
      <x:c r="J16" s="141"/>
      <x:c r="K16" s="141"/>
      <x:c r="L16" s="141"/>
      <x:c r="M16" s="141"/>
      <x:c r="N16" s="141"/>
      <x:c r="O16" s="141"/>
      <x:c r="P16" s="141"/>
      <x:c r="Q16" s="141"/>
      <x:c r="R16" s="141"/>
      <x:c r="S16" s="141"/>
      <x:c r="T16" s="141"/>
      <x:c r="U16" s="141"/>
    </x:row>
    <x:row r="17" ht="28" customHeight="1">
      <x:c r="A17" s="64" t="str">
        <x:v>Vendor / Contract Readiness</x:v>
      </x:c>
      <x:c r="B17" s="23" t="n">
        <x:f>MIN('Master Plan'!$E$41:$E$48)</x:f>
        <x:v>1</x:v>
      </x:c>
      <x:c r="C17" s="23" t="n">
        <x:f>MAX('Master Plan'!$F$41:$F$48)</x:f>
        <x:v>4</x:v>
      </x:c>
      <x:c r="D17" s="27" t="str">
        <x:v>Commercial, support, and risk dependencies resolved</x:v>
      </x:c>
      <x:c r="E17" s="141"/>
      <x:c r="F17" s="141"/>
      <x:c r="G17" s="141"/>
      <x:c r="H17" s="141"/>
      <x:c r="I17" s="141"/>
      <x:c r="J17" s="141"/>
      <x:c r="K17" s="141"/>
      <x:c r="L17" s="141"/>
      <x:c r="M17" s="141"/>
      <x:c r="N17" s="141"/>
      <x:c r="O17" s="141"/>
      <x:c r="P17" s="141"/>
      <x:c r="Q17" s="141"/>
      <x:c r="R17" s="141"/>
      <x:c r="S17" s="141"/>
      <x:c r="T17" s="141"/>
      <x:c r="U17" s="141"/>
    </x:row>
    <x:row r="18" ht="28" customHeight="1">
      <x:c r="A18" s="64" t="str">
        <x:v>Technical Discovery</x:v>
      </x:c>
      <x:c r="B18" s="23" t="n">
        <x:f>MIN('Master Plan'!$E$49:$E$65)</x:f>
        <x:v>2</x:v>
      </x:c>
      <x:c r="C18" s="23" t="n">
        <x:f>MAX('Master Plan'!$F$49:$F$65)</x:f>
        <x:v>4</x:v>
      </x:c>
      <x:c r="D18" s="27" t="str">
        <x:v>Integration, SSO, data flow, environments, and solution design approved</x:v>
      </x:c>
      <x:c r="E18" s="141"/>
      <x:c r="F18" s="141"/>
      <x:c r="G18" s="141"/>
      <x:c r="H18" s="141"/>
      <x:c r="I18" s="141"/>
      <x:c r="J18" s="141"/>
      <x:c r="K18" s="141"/>
      <x:c r="L18" s="141"/>
      <x:c r="M18" s="141"/>
      <x:c r="N18" s="141"/>
      <x:c r="O18" s="141"/>
      <x:c r="P18" s="141"/>
      <x:c r="Q18" s="141"/>
      <x:c r="R18" s="141"/>
      <x:c r="S18" s="141"/>
      <x:c r="T18" s="141"/>
      <x:c r="U18" s="141"/>
    </x:row>
    <x:row r="19" ht="28" customHeight="1">
      <x:c r="A19" s="64" t="str">
        <x:v>UX / Experience Design</x:v>
      </x:c>
      <x:c r="B19" s="23" t="n">
        <x:f>MIN('Master Plan'!$E$66:$E$78)</x:f>
        <x:v>2</x:v>
      </x:c>
      <x:c r="C19" s="23" t="n">
        <x:f>MAX('Master Plan'!$F$66:$F$78)</x:f>
        <x:v>5</x:v>
      </x:c>
      <x:c r="D19" s="27" t="str">
        <x:v>Web, mobile, consent, support, and accessibility experience approved</x:v>
      </x:c>
      <x:c r="E19" s="141"/>
      <x:c r="F19" s="141"/>
      <x:c r="G19" s="141"/>
      <x:c r="H19" s="141"/>
      <x:c r="I19" s="141"/>
      <x:c r="J19" s="141"/>
      <x:c r="K19" s="141"/>
      <x:c r="L19" s="141"/>
      <x:c r="M19" s="141"/>
      <x:c r="N19" s="141"/>
      <x:c r="O19" s="141"/>
      <x:c r="P19" s="141"/>
      <x:c r="Q19" s="141"/>
      <x:c r="R19" s="141"/>
      <x:c r="S19" s="141"/>
      <x:c r="T19" s="141"/>
      <x:c r="U19" s="141"/>
    </x:row>
    <x:row r="20" ht="28" customHeight="1">
      <x:c r="A20" s="64" t="str">
        <x:v>Legal / Compliance / Privacy</x:v>
      </x:c>
      <x:c r="B20" s="23" t="n">
        <x:f>MIN('Master Plan'!$E$79:$E$91)</x:f>
        <x:v>2</x:v>
      </x:c>
      <x:c r="C20" s="23" t="n">
        <x:f>MAX('Master Plan'!$F$79:$F$91)</x:f>
        <x:v>6</x:v>
      </x:c>
      <x:c r="D20" s="27" t="str">
        <x:v>Legal, compliance, privacy, and disclosure requirements approved</x:v>
      </x:c>
      <x:c r="E20" s="141"/>
      <x:c r="F20" s="141"/>
      <x:c r="G20" s="141"/>
      <x:c r="H20" s="141"/>
      <x:c r="I20" s="141"/>
      <x:c r="J20" s="141"/>
      <x:c r="K20" s="141"/>
      <x:c r="L20" s="141"/>
      <x:c r="M20" s="141"/>
      <x:c r="N20" s="141"/>
      <x:c r="O20" s="141"/>
      <x:c r="P20" s="141"/>
      <x:c r="Q20" s="141"/>
      <x:c r="R20" s="141"/>
      <x:c r="S20" s="141"/>
      <x:c r="T20" s="141"/>
      <x:c r="U20" s="141"/>
    </x:row>
    <x:row r="21" ht="28" customHeight="1">
      <x:c r="A21" s="64" t="str">
        <x:v>Security / Risk</x:v>
      </x:c>
      <x:c r="B21" s="23" t="n">
        <x:f>MIN('Master Plan'!$E$92:$E$100)</x:f>
        <x:v>4</x:v>
      </x:c>
      <x:c r="C21" s="23" t="n">
        <x:f>MAX('Master Plan'!$F$92:$F$100)</x:f>
        <x:v>6</x:v>
      </x:c>
      <x:c r="D21" s="27" t="str">
        <x:v>Security findings resolved and approval obtained</x:v>
      </x:c>
      <x:c r="E21" s="141"/>
      <x:c r="F21" s="141"/>
      <x:c r="G21" s="141"/>
      <x:c r="H21" s="141"/>
      <x:c r="I21" s="141"/>
      <x:c r="J21" s="141"/>
      <x:c r="K21" s="141"/>
      <x:c r="L21" s="141"/>
      <x:c r="M21" s="141"/>
      <x:c r="N21" s="141"/>
      <x:c r="O21" s="141"/>
      <x:c r="P21" s="141"/>
      <x:c r="Q21" s="141"/>
      <x:c r="R21" s="141"/>
      <x:c r="S21" s="141"/>
      <x:c r="T21" s="141"/>
      <x:c r="U21" s="141"/>
    </x:row>
    <x:row r="22" ht="28" customHeight="1">
      <x:c r="A22" s="64" t="str">
        <x:v>Configuration / Development</x:v>
      </x:c>
      <x:c r="B22" s="23" t="n">
        <x:f>MIN('Master Plan'!$E$101:$E$116)</x:f>
        <x:v>5</x:v>
      </x:c>
      <x:c r="C22" s="23" t="n">
        <x:f>MAX('Master Plan'!$F$101:$F$116)</x:f>
        <x:v>8</x:v>
      </x:c>
      <x:c r="D22" s="27" t="str">
        <x:v>Working test integration and supporting configuration complete</x:v>
      </x:c>
      <x:c r="E22" s="141"/>
      <x:c r="F22" s="141"/>
      <x:c r="G22" s="141"/>
      <x:c r="H22" s="141"/>
      <x:c r="I22" s="141"/>
      <x:c r="J22" s="141"/>
      <x:c r="K22" s="141"/>
      <x:c r="L22" s="141"/>
      <x:c r="M22" s="141"/>
      <x:c r="N22" s="141"/>
      <x:c r="O22" s="141"/>
      <x:c r="P22" s="141"/>
      <x:c r="Q22" s="141"/>
      <x:c r="R22" s="141"/>
      <x:c r="S22" s="141"/>
      <x:c r="T22" s="141"/>
      <x:c r="U22" s="141"/>
    </x:row>
    <x:row r="23" ht="28" customHeight="1">
      <x:c r="A23" s="64" t="str">
        <x:v>QA / System Testing</x:v>
      </x:c>
      <x:c r="B23" s="23" t="n">
        <x:f>MIN('Master Plan'!$E$117:$E$135)</x:f>
        <x:v>7</x:v>
      </x:c>
      <x:c r="C23" s="23" t="n">
        <x:f>MAX('Master Plan'!$F$117:$F$135)</x:f>
        <x:v>10</x:v>
      </x:c>
      <x:c r="D23" s="27" t="str">
        <x:v>System, mobile, browser, accessibility, analytics, and regression testing passed</x:v>
      </x:c>
      <x:c r="E23" s="141"/>
      <x:c r="F23" s="141"/>
      <x:c r="G23" s="141"/>
      <x:c r="H23" s="141"/>
      <x:c r="I23" s="141"/>
      <x:c r="J23" s="141"/>
      <x:c r="K23" s="141"/>
      <x:c r="L23" s="141"/>
      <x:c r="M23" s="141"/>
      <x:c r="N23" s="141"/>
      <x:c r="O23" s="141"/>
      <x:c r="P23" s="141"/>
      <x:c r="Q23" s="141"/>
      <x:c r="R23" s="141"/>
      <x:c r="S23" s="141"/>
      <x:c r="T23" s="141"/>
      <x:c r="U23" s="141"/>
    </x:row>
    <x:row r="24" ht="28" customHeight="1">
      <x:c r="A24" s="64" t="str">
        <x:v>User Acceptance Testing</x:v>
      </x:c>
      <x:c r="B24" s="23" t="n">
        <x:f>MIN('Master Plan'!$E$136:$E$148)</x:f>
        <x:v>9</x:v>
      </x:c>
      <x:c r="C24" s="23" t="n">
        <x:f>MAX('Master Plan'!$F$136:$F$148)</x:f>
        <x:v>11</x:v>
      </x:c>
      <x:c r="D24" s="27" t="str">
        <x:v>Business acceptance obtained and critical defects resolved</x:v>
      </x:c>
      <x:c r="E24" s="141"/>
      <x:c r="F24" s="141"/>
      <x:c r="G24" s="141"/>
      <x:c r="H24" s="141"/>
      <x:c r="I24" s="141"/>
      <x:c r="J24" s="141"/>
      <x:c r="K24" s="141"/>
      <x:c r="L24" s="141"/>
      <x:c r="M24" s="141"/>
      <x:c r="N24" s="141"/>
      <x:c r="O24" s="141"/>
      <x:c r="P24" s="141"/>
      <x:c r="Q24" s="141"/>
      <x:c r="R24" s="141"/>
      <x:c r="S24" s="141"/>
      <x:c r="T24" s="141"/>
      <x:c r="U24" s="141"/>
    </x:row>
    <x:row r="25" ht="28" customHeight="1">
      <x:c r="A25" s="64" t="str">
        <x:v>Operations &amp; Support Readiness</x:v>
      </x:c>
      <x:c r="B25" s="23" t="n">
        <x:f>MIN('Master Plan'!$E$149:$E$162)</x:f>
        <x:v>8</x:v>
      </x:c>
      <x:c r="C25" s="23" t="n">
        <x:f>MAX('Master Plan'!$F$149:$F$162)</x:f>
        <x:v>12</x:v>
      </x:c>
      <x:c r="D25" s="27" t="str">
        <x:v>Support model, documentation, training, and escalation paths ready</x:v>
      </x:c>
      <x:c r="E25" s="141"/>
      <x:c r="F25" s="141"/>
      <x:c r="G25" s="141"/>
      <x:c r="H25" s="141"/>
      <x:c r="I25" s="141"/>
      <x:c r="J25" s="141"/>
      <x:c r="K25" s="141"/>
      <x:c r="L25" s="141"/>
      <x:c r="M25" s="141"/>
      <x:c r="N25" s="141"/>
      <x:c r="O25" s="141"/>
      <x:c r="P25" s="141"/>
      <x:c r="Q25" s="141"/>
      <x:c r="R25" s="141"/>
      <x:c r="S25" s="141"/>
      <x:c r="T25" s="141"/>
      <x:c r="U25" s="141"/>
    </x:row>
    <x:row r="26" ht="28" customHeight="1">
      <x:c r="A26" s="64" t="str">
        <x:v>Marketing &amp; Communications</x:v>
      </x:c>
      <x:c r="B26" s="23" t="n">
        <x:f>MIN('Master Plan'!$E$163:$E$175)</x:f>
        <x:v>8</x:v>
      </x:c>
      <x:c r="C26" s="23" t="n">
        <x:f>MAX('Master Plan'!$F$163:$F$175)</x:f>
        <x:v>13</x:v>
      </x:c>
      <x:c r="D26" s="27" t="str">
        <x:v>Launch communications approved and scheduled</x:v>
      </x:c>
      <x:c r="E26" s="141"/>
      <x:c r="F26" s="141"/>
      <x:c r="G26" s="141"/>
      <x:c r="H26" s="141"/>
      <x:c r="I26" s="141"/>
      <x:c r="J26" s="141"/>
      <x:c r="K26" s="141"/>
      <x:c r="L26" s="141"/>
      <x:c r="M26" s="141"/>
      <x:c r="N26" s="141"/>
      <x:c r="O26" s="141"/>
      <x:c r="P26" s="141"/>
      <x:c r="Q26" s="141"/>
      <x:c r="R26" s="141"/>
      <x:c r="S26" s="141"/>
      <x:c r="T26" s="141"/>
      <x:c r="U26" s="141"/>
    </x:row>
    <x:row r="27" ht="28" customHeight="1">
      <x:c r="A27" s="64" t="str">
        <x:v>Analytics &amp; Measurement</x:v>
      </x:c>
      <x:c r="B27" s="23" t="n">
        <x:f>MIN('Master Plan'!$E$176:$E$186)</x:f>
        <x:v>6</x:v>
      </x:c>
      <x:c r="C27" s="23" t="n">
        <x:f>MAX('Master Plan'!$F$176:$F$186)</x:f>
        <x:v>12</x:v>
      </x:c>
      <x:c r="D27" s="27" t="str">
        <x:v>Launch metrics, tracking, dashboard, and reporting cadence ready</x:v>
      </x:c>
      <x:c r="E27" s="141"/>
      <x:c r="F27" s="141"/>
      <x:c r="G27" s="141"/>
      <x:c r="H27" s="141"/>
      <x:c r="I27" s="141"/>
      <x:c r="J27" s="141"/>
      <x:c r="K27" s="141"/>
      <x:c r="L27" s="141"/>
      <x:c r="M27" s="141"/>
      <x:c r="N27" s="141"/>
      <x:c r="O27" s="141"/>
      <x:c r="P27" s="141"/>
      <x:c r="Q27" s="141"/>
      <x:c r="R27" s="141"/>
      <x:c r="S27" s="141"/>
      <x:c r="T27" s="141"/>
      <x:c r="U27" s="141"/>
    </x:row>
    <x:row r="28" ht="28" customHeight="1">
      <x:c r="A28" s="64" t="str">
        <x:v>Production Readiness</x:v>
      </x:c>
      <x:c r="B28" s="23" t="n">
        <x:f>MIN('Master Plan'!$E$187:$E$200)</x:f>
        <x:v>11</x:v>
      </x:c>
      <x:c r="C28" s="23" t="n">
        <x:f>MAX('Master Plan'!$F$187:$F$200)</x:f>
        <x:v>13</x:v>
      </x:c>
      <x:c r="D28" s="27" t="str">
        <x:v>Production, rollback, monitoring, and cross-functional approvals ready</x:v>
      </x:c>
      <x:c r="E28" s="141"/>
      <x:c r="F28" s="141"/>
      <x:c r="G28" s="141"/>
      <x:c r="H28" s="141"/>
      <x:c r="I28" s="141"/>
      <x:c r="J28" s="141"/>
      <x:c r="K28" s="141"/>
      <x:c r="L28" s="141"/>
      <x:c r="M28" s="141"/>
      <x:c r="N28" s="141"/>
      <x:c r="O28" s="141"/>
      <x:c r="P28" s="141"/>
      <x:c r="Q28" s="141"/>
      <x:c r="R28" s="141"/>
      <x:c r="S28" s="141"/>
      <x:c r="T28" s="141"/>
      <x:c r="U28" s="141"/>
    </x:row>
    <x:row r="29" ht="28" customHeight="1">
      <x:c r="A29" s="64" t="str">
        <x:v>Production Deployment</x:v>
      </x:c>
      <x:c r="B29" s="23" t="n">
        <x:f>MIN('Master Plan'!$E$201:$E$209)</x:f>
        <x:v>13</x:v>
      </x:c>
      <x:c r="C29" s="23" t="n">
        <x:f>MAX('Master Plan'!$F$201:$F$209)</x:f>
        <x:v>13</x:v>
      </x:c>
      <x:c r="D29" s="27" t="str">
        <x:v>Production integration validated and accepted</x:v>
      </x:c>
      <x:c r="E29" s="141"/>
      <x:c r="F29" s="141"/>
      <x:c r="G29" s="141"/>
      <x:c r="H29" s="141"/>
      <x:c r="I29" s="141"/>
      <x:c r="J29" s="141"/>
      <x:c r="K29" s="141"/>
      <x:c r="L29" s="141"/>
      <x:c r="M29" s="141"/>
      <x:c r="N29" s="141"/>
      <x:c r="O29" s="141"/>
      <x:c r="P29" s="141"/>
      <x:c r="Q29" s="141"/>
      <x:c r="R29" s="141"/>
      <x:c r="S29" s="141"/>
      <x:c r="T29" s="141"/>
      <x:c r="U29" s="141"/>
    </x:row>
    <x:row r="30" ht="28" customHeight="1">
      <x:c r="A30" s="64" t="str">
        <x:v>Soft Launch</x:v>
      </x:c>
      <x:c r="B30" s="23" t="n">
        <x:f>MIN('Master Plan'!$E$210:$E$219)</x:f>
        <x:v>13</x:v>
      </x:c>
      <x:c r="C30" s="23" t="n">
        <x:f>MAX('Master Plan'!$F$210:$F$219)</x:f>
        <x:v>14</x:v>
      </x:c>
      <x:c r="D30" s="27" t="str">
        <x:v>Production stability confirmed and broad marketing approved</x:v>
      </x:c>
      <x:c r="E30" s="141"/>
      <x:c r="F30" s="141"/>
      <x:c r="G30" s="141"/>
      <x:c r="H30" s="141"/>
      <x:c r="I30" s="141"/>
      <x:c r="J30" s="141"/>
      <x:c r="K30" s="141"/>
      <x:c r="L30" s="141"/>
      <x:c r="M30" s="141"/>
      <x:c r="N30" s="141"/>
      <x:c r="O30" s="141"/>
      <x:c r="P30" s="141"/>
      <x:c r="Q30" s="141"/>
      <x:c r="R30" s="141"/>
      <x:c r="S30" s="141"/>
      <x:c r="T30" s="141"/>
      <x:c r="U30" s="141"/>
    </x:row>
    <x:row r="31" ht="28" customHeight="1">
      <x:c r="A31" s="64" t="str">
        <x:v>General Launch</x:v>
      </x:c>
      <x:c r="B31" s="23" t="n">
        <x:f>MIN('Master Plan'!$E$220:$E$225)</x:f>
        <x:v>15</x:v>
      </x:c>
      <x:c r="C31" s="23" t="n">
        <x:f>MAX('Master Plan'!$F$220:$F$225)</x:f>
        <x:v>15</x:v>
      </x:c>
      <x:c r="D31" s="27" t="str">
        <x:v>Customer and employee launch communications activated</x:v>
      </x:c>
      <x:c r="E31" s="141"/>
      <x:c r="F31" s="141"/>
      <x:c r="G31" s="141"/>
      <x:c r="H31" s="141"/>
      <x:c r="I31" s="141"/>
      <x:c r="J31" s="141"/>
      <x:c r="K31" s="141"/>
      <x:c r="L31" s="141"/>
      <x:c r="M31" s="141"/>
      <x:c r="N31" s="141"/>
      <x:c r="O31" s="141"/>
      <x:c r="P31" s="141"/>
      <x:c r="Q31" s="141"/>
      <x:c r="R31" s="141"/>
      <x:c r="S31" s="141"/>
      <x:c r="T31" s="141"/>
      <x:c r="U31" s="141"/>
    </x:row>
    <x:row r="32" ht="28" customHeight="1">
      <x:c r="A32" s="65" t="str">
        <x:v>Hypercare / Stabilization</x:v>
      </x:c>
      <x:c r="B32" s="67" t="n">
        <x:f>MIN('Master Plan'!$E$226:$E$237)</x:f>
        <x:v>15</x:v>
      </x:c>
      <x:c r="C32" s="67" t="n">
        <x:f>MAX('Master Plan'!$F$226:$F$237)</x:f>
        <x:v>17</x:v>
      </x:c>
      <x:c r="D32" s="68" t="str">
        <x:v>Production stabilized, ownership transitioned, and project closed</x:v>
      </x:c>
      <x:c r="E32" s="142"/>
      <x:c r="F32" s="142"/>
      <x:c r="G32" s="142"/>
      <x:c r="H32" s="142"/>
      <x:c r="I32" s="142"/>
      <x:c r="J32" s="142"/>
      <x:c r="K32" s="142"/>
      <x:c r="L32" s="142"/>
      <x:c r="M32" s="142"/>
      <x:c r="N32" s="142"/>
      <x:c r="O32" s="142"/>
      <x:c r="P32" s="142"/>
      <x:c r="Q32" s="142"/>
      <x:c r="R32" s="142"/>
      <x:c r="S32" s="142"/>
      <x:c r="T32" s="142"/>
      <x:c r="U32" s="142"/>
    </x:row>
    <x:row r="33">
      <x:c r="A33" s="93"/>
      <x:c r="B33" s="141"/>
      <x:c r="C33" s="141"/>
      <x:c r="D33" s="143"/>
      <x:c r="E33" s="141"/>
      <x:c r="F33" s="141"/>
      <x:c r="G33" s="141"/>
      <x:c r="H33" s="141"/>
      <x:c r="I33" s="141"/>
      <x:c r="J33" s="141"/>
      <x:c r="K33" s="141"/>
      <x:c r="L33" s="141"/>
      <x:c r="M33" s="141"/>
      <x:c r="N33" s="141"/>
      <x:c r="O33" s="141"/>
      <x:c r="P33" s="141"/>
      <x:c r="Q33" s="141"/>
      <x:c r="R33" s="141"/>
      <x:c r="S33" s="141"/>
      <x:c r="T33" s="141"/>
      <x:c r="U33" s="141"/>
    </x:row>
    <x:row r="34">
      <x:c r="A34" s="93"/>
      <x:c r="B34" s="141"/>
      <x:c r="C34" s="141"/>
      <x:c r="D34" s="143"/>
      <x:c r="E34" s="141"/>
      <x:c r="F34" s="141"/>
      <x:c r="G34" s="141"/>
      <x:c r="H34" s="141"/>
      <x:c r="I34" s="141"/>
      <x:c r="J34" s="141"/>
      <x:c r="K34" s="141"/>
      <x:c r="L34" s="141"/>
      <x:c r="M34" s="141"/>
      <x:c r="N34" s="141"/>
      <x:c r="O34" s="141"/>
      <x:c r="P34" s="141"/>
      <x:c r="Q34" s="141"/>
      <x:c r="R34" s="141"/>
      <x:c r="S34" s="141"/>
      <x:c r="T34" s="141"/>
      <x:c r="U34" s="141"/>
    </x:row>
    <x:row r="35">
      <x:c r="A35" s="147" t="str">
        <x:v>Stage gates</x:v>
      </x:c>
      <x:c r="B35" s="148"/>
      <x:c r="C35" s="148"/>
      <x:c r="D35" s="149"/>
      <x:c r="E35" s="148"/>
      <x:c r="F35" s="148"/>
      <x:c r="G35" s="148"/>
      <x:c r="H35" s="148"/>
      <x:c r="I35" s="148"/>
      <x:c r="J35" s="148"/>
      <x:c r="K35" s="148"/>
      <x:c r="L35" s="148"/>
      <x:c r="M35" s="148"/>
      <x:c r="N35" s="148"/>
      <x:c r="O35" s="148"/>
      <x:c r="P35" s="148"/>
      <x:c r="Q35" s="148"/>
      <x:c r="R35" s="148"/>
      <x:c r="S35" s="148"/>
      <x:c r="T35" s="148"/>
      <x:c r="U35" s="148"/>
    </x:row>
    <x:row r="36" ht="30" customHeight="1">
      <x:c r="A36" s="9" t="str">
        <x:v>Gate</x:v>
      </x:c>
      <x:c r="B36" s="9" t="str">
        <x:v>Target</x:v>
      </x:c>
      <x:c r="C36" s="9" t="str">
        <x:v>Owner</x:v>
      </x:c>
      <x:c r="D36" s="9" t="str">
        <x:v>Approval Criteria</x:v>
      </x:c>
      <x:c r="E36" s="119" t="n">
        <x:v>1</x:v>
      </x:c>
      <x:c r="F36" s="119" t="n">
        <x:v>2</x:v>
      </x:c>
      <x:c r="G36" s="119" t="n">
        <x:v>3</x:v>
      </x:c>
      <x:c r="H36" s="119" t="n">
        <x:v>4</x:v>
      </x:c>
      <x:c r="I36" s="119" t="n">
        <x:v>5</x:v>
      </x:c>
      <x:c r="J36" s="119" t="n">
        <x:v>6</x:v>
      </x:c>
      <x:c r="K36" s="119" t="n">
        <x:v>7</x:v>
      </x:c>
      <x:c r="L36" s="119" t="n">
        <x:v>8</x:v>
      </x:c>
      <x:c r="M36" s="119" t="n">
        <x:v>9</x:v>
      </x:c>
      <x:c r="N36" s="119" t="n">
        <x:v>10</x:v>
      </x:c>
      <x:c r="O36" s="119" t="n">
        <x:v>11</x:v>
      </x:c>
      <x:c r="P36" s="119" t="n">
        <x:v>12</x:v>
      </x:c>
      <x:c r="Q36" s="119" t="n">
        <x:v>13</x:v>
      </x:c>
      <x:c r="R36" s="119" t="n">
        <x:v>14</x:v>
      </x:c>
      <x:c r="S36" s="119" t="n">
        <x:v>15</x:v>
      </x:c>
      <x:c r="T36" s="119" t="n">
        <x:v>16</x:v>
      </x:c>
      <x:c r="U36" s="119" t="n">
        <x:v>17</x:v>
      </x:c>
    </x:row>
    <x:row r="37" ht="30" customHeight="1">
      <x:c r="A37" s="150" t="str">
        <x:v>​G1</x:v>
      </x:c>
      <x:c r="B37" s="23" t="n">
        <x:f>INDEX('Master Plan'!$E$7:$E$247,MATCH($A37,'Master Plan'!$A$7:$A$247,0))</x:f>
        <x:v>3</x:v>
      </x:c>
      <x:c r="C37" s="23" t="str">
        <x:f>INDEX('Master Plan'!$D$7:$D$247,MATCH($A37,'Master Plan'!$A$7:$A$247,0))</x:f>
        <x:v>Sponsor</x:v>
      </x:c>
      <x:c r="D37" s="27" t="str">
        <x:f>INDEX('Master Plan'!$O$7:$O$247,MATCH($A37,'Master Plan'!$A$7:$A$247,0))</x:f>
        <x:v>Scope, capabilities, owners, and business objectives approved</x:v>
      </x:c>
      <x:c r="E37" s="141" t="str">
        <x:f>IF(E$36=$B37,$A37,"")</x:f>
      </x:c>
      <x:c r="F37" s="141" t="str">
        <x:f>IF(F$36=$B37,$A37,"")</x:f>
      </x:c>
      <x:c r="G37" s="141" t="str">
        <x:f>IF(G$36=$B37,$A37,"")</x:f>
        <x:v>​G1</x:v>
      </x:c>
      <x:c r="H37" s="141" t="str">
        <x:f>IF(H$36=$B37,$A37,"")</x:f>
      </x:c>
      <x:c r="I37" s="141" t="str">
        <x:f>IF(I$36=$B37,$A37,"")</x:f>
      </x:c>
      <x:c r="J37" s="141" t="str">
        <x:f>IF(J$36=$B37,$A37,"")</x:f>
      </x:c>
      <x:c r="K37" s="141" t="str">
        <x:f>IF(K$36=$B37,$A37,"")</x:f>
      </x:c>
      <x:c r="L37" s="141" t="str">
        <x:f>IF(L$36=$B37,$A37,"")</x:f>
      </x:c>
      <x:c r="M37" s="141" t="str">
        <x:f>IF(M$36=$B37,$A37,"")</x:f>
      </x:c>
      <x:c r="N37" s="141" t="str">
        <x:f>IF(N$36=$B37,$A37,"")</x:f>
      </x:c>
      <x:c r="O37" s="141" t="str">
        <x:f>IF(O$36=$B37,$A37,"")</x:f>
      </x:c>
      <x:c r="P37" s="141" t="str">
        <x:f>IF(P$36=$B37,$A37,"")</x:f>
      </x:c>
      <x:c r="Q37" s="141" t="str">
        <x:f>IF(Q$36=$B37,$A37,"")</x:f>
      </x:c>
      <x:c r="R37" s="141" t="str">
        <x:f>IF(R$36=$B37,$A37,"")</x:f>
      </x:c>
      <x:c r="S37" s="141" t="str">
        <x:f>IF(S$36=$B37,$A37,"")</x:f>
      </x:c>
      <x:c r="T37" s="141" t="str">
        <x:f>IF(T$36=$B37,$A37,"")</x:f>
      </x:c>
      <x:c r="U37" s="141" t="str">
        <x:f>IF(U$36=$B37,$A37,"")</x:f>
      </x:c>
    </x:row>
    <x:row r="38" ht="30" customHeight="1">
      <x:c r="A38" s="150" t="str">
        <x:v>​G2</x:v>
      </x:c>
      <x:c r="B38" s="23" t="n">
        <x:f>INDEX('Master Plan'!$E$7:$E$247,MATCH($A38,'Master Plan'!$A$7:$A$247,0))</x:f>
        <x:v>5</x:v>
      </x:c>
      <x:c r="C38" s="23" t="str">
        <x:f>INDEX('Master Plan'!$D$7:$D$247,MATCH($A38,'Master Plan'!$A$7:$A$247,0))</x:f>
        <x:v>Architecture</x:v>
      </x:c>
      <x:c r="D38" s="27" t="str">
        <x:f>INDEX('Master Plan'!$O$7:$O$247,MATCH($A38,'Master Plan'!$A$7:$A$247,0))</x:f>
        <x:v>Architecture, SSO, data flow, and UX approved</x:v>
      </x:c>
      <x:c r="E38" s="141" t="str">
        <x:f>IF(E$36=$B38,$A38,"")</x:f>
      </x:c>
      <x:c r="F38" s="141" t="str">
        <x:f>IF(F$36=$B38,$A38,"")</x:f>
      </x:c>
      <x:c r="G38" s="141" t="str">
        <x:f>IF(G$36=$B38,$A38,"")</x:f>
      </x:c>
      <x:c r="H38" s="141" t="str">
        <x:f>IF(H$36=$B38,$A38,"")</x:f>
      </x:c>
      <x:c r="I38" s="141" t="str">
        <x:f>IF(I$36=$B38,$A38,"")</x:f>
        <x:v>​G2</x:v>
      </x:c>
      <x:c r="J38" s="141" t="str">
        <x:f>IF(J$36=$B38,$A38,"")</x:f>
      </x:c>
      <x:c r="K38" s="141" t="str">
        <x:f>IF(K$36=$B38,$A38,"")</x:f>
      </x:c>
      <x:c r="L38" s="141" t="str">
        <x:f>IF(L$36=$B38,$A38,"")</x:f>
      </x:c>
      <x:c r="M38" s="141" t="str">
        <x:f>IF(M$36=$B38,$A38,"")</x:f>
      </x:c>
      <x:c r="N38" s="141" t="str">
        <x:f>IF(N$36=$B38,$A38,"")</x:f>
      </x:c>
      <x:c r="O38" s="141" t="str">
        <x:f>IF(O$36=$B38,$A38,"")</x:f>
      </x:c>
      <x:c r="P38" s="141" t="str">
        <x:f>IF(P$36=$B38,$A38,"")</x:f>
      </x:c>
      <x:c r="Q38" s="141" t="str">
        <x:f>IF(Q$36=$B38,$A38,"")</x:f>
      </x:c>
      <x:c r="R38" s="141" t="str">
        <x:f>IF(R$36=$B38,$A38,"")</x:f>
      </x:c>
      <x:c r="S38" s="141" t="str">
        <x:f>IF(S$36=$B38,$A38,"")</x:f>
      </x:c>
      <x:c r="T38" s="141" t="str">
        <x:f>IF(T$36=$B38,$A38,"")</x:f>
      </x:c>
      <x:c r="U38" s="141" t="str">
        <x:f>IF(U$36=$B38,$A38,"")</x:f>
      </x:c>
    </x:row>
    <x:row r="39" ht="30" customHeight="1">
      <x:c r="A39" s="150" t="str">
        <x:v>​G3</x:v>
      </x:c>
      <x:c r="B39" s="23" t="n">
        <x:f>INDEX('Master Plan'!$E$7:$E$247,MATCH($A39,'Master Plan'!$A$7:$A$247,0))</x:f>
        <x:v>6</x:v>
      </x:c>
      <x:c r="C39" s="23" t="str">
        <x:f>INDEX('Master Plan'!$D$7:$D$247,MATCH($A39,'Master Plan'!$A$7:$A$247,0))</x:f>
        <x:v>Legal</x:v>
      </x:c>
      <x:c r="D39" s="27" t="str">
        <x:f>INDEX('Master Plan'!$O$7:$O$247,MATCH($A39,'Master Plan'!$A$7:$A$247,0))</x:f>
        <x:v>Vendor risk, privacy, legal, compliance, and security approvals complete</x:v>
      </x:c>
      <x:c r="E39" s="141" t="str">
        <x:f>IF(E$36=$B39,$A39,"")</x:f>
      </x:c>
      <x:c r="F39" s="141" t="str">
        <x:f>IF(F$36=$B39,$A39,"")</x:f>
      </x:c>
      <x:c r="G39" s="141" t="str">
        <x:f>IF(G$36=$B39,$A39,"")</x:f>
      </x:c>
      <x:c r="H39" s="141" t="str">
        <x:f>IF(H$36=$B39,$A39,"")</x:f>
      </x:c>
      <x:c r="I39" s="141" t="str">
        <x:f>IF(I$36=$B39,$A39,"")</x:f>
      </x:c>
      <x:c r="J39" s="141" t="str">
        <x:f>IF(J$36=$B39,$A39,"")</x:f>
        <x:v>​G3</x:v>
      </x:c>
      <x:c r="K39" s="141" t="str">
        <x:f>IF(K$36=$B39,$A39,"")</x:f>
      </x:c>
      <x:c r="L39" s="141" t="str">
        <x:f>IF(L$36=$B39,$A39,"")</x:f>
      </x:c>
      <x:c r="M39" s="141" t="str">
        <x:f>IF(M$36=$B39,$A39,"")</x:f>
      </x:c>
      <x:c r="N39" s="141" t="str">
        <x:f>IF(N$36=$B39,$A39,"")</x:f>
      </x:c>
      <x:c r="O39" s="141" t="str">
        <x:f>IF(O$36=$B39,$A39,"")</x:f>
      </x:c>
      <x:c r="P39" s="141" t="str">
        <x:f>IF(P$36=$B39,$A39,"")</x:f>
      </x:c>
      <x:c r="Q39" s="141" t="str">
        <x:f>IF(Q$36=$B39,$A39,"")</x:f>
      </x:c>
      <x:c r="R39" s="141" t="str">
        <x:f>IF(R$36=$B39,$A39,"")</x:f>
      </x:c>
      <x:c r="S39" s="141" t="str">
        <x:f>IF(S$36=$B39,$A39,"")</x:f>
      </x:c>
      <x:c r="T39" s="141" t="str">
        <x:f>IF(T$36=$B39,$A39,"")</x:f>
      </x:c>
      <x:c r="U39" s="141" t="str">
        <x:f>IF(U$36=$B39,$A39,"")</x:f>
      </x:c>
    </x:row>
    <x:row r="40" ht="30" customHeight="1">
      <x:c r="A40" s="150" t="str">
        <x:v>​G4</x:v>
      </x:c>
      <x:c r="B40" s="23" t="n">
        <x:f>INDEX('Master Plan'!$E$7:$E$247,MATCH($A40,'Master Plan'!$A$7:$A$247,0))</x:f>
        <x:v>8</x:v>
      </x:c>
      <x:c r="C40" s="23" t="str">
        <x:f>INDEX('Master Plan'!$D$7:$D$247,MATCH($A40,'Master Plan'!$A$7:$A$247,0))</x:f>
        <x:v>PM</x:v>
      </x:c>
      <x:c r="D40" s="27" t="str">
        <x:f>INDEX('Master Plan'!$O$7:$O$247,MATCH($A40,'Master Plan'!$A$7:$A$247,0))</x:f>
        <x:v>Configuration and integration complete in test</x:v>
      </x:c>
      <x:c r="E40" s="141" t="str">
        <x:f>IF(E$36=$B40,$A40,"")</x:f>
      </x:c>
      <x:c r="F40" s="141" t="str">
        <x:f>IF(F$36=$B40,$A40,"")</x:f>
      </x:c>
      <x:c r="G40" s="141" t="str">
        <x:f>IF(G$36=$B40,$A40,"")</x:f>
      </x:c>
      <x:c r="H40" s="141" t="str">
        <x:f>IF(H$36=$B40,$A40,"")</x:f>
      </x:c>
      <x:c r="I40" s="141" t="str">
        <x:f>IF(I$36=$B40,$A40,"")</x:f>
      </x:c>
      <x:c r="J40" s="141" t="str">
        <x:f>IF(J$36=$B40,$A40,"")</x:f>
      </x:c>
      <x:c r="K40" s="141" t="str">
        <x:f>IF(K$36=$B40,$A40,"")</x:f>
      </x:c>
      <x:c r="L40" s="141" t="str">
        <x:f>IF(L$36=$B40,$A40,"")</x:f>
        <x:v>​G4</x:v>
      </x:c>
      <x:c r="M40" s="141" t="str">
        <x:f>IF(M$36=$B40,$A40,"")</x:f>
      </x:c>
      <x:c r="N40" s="141" t="str">
        <x:f>IF(N$36=$B40,$A40,"")</x:f>
      </x:c>
      <x:c r="O40" s="141" t="str">
        <x:f>IF(O$36=$B40,$A40,"")</x:f>
      </x:c>
      <x:c r="P40" s="141" t="str">
        <x:f>IF(P$36=$B40,$A40,"")</x:f>
      </x:c>
      <x:c r="Q40" s="141" t="str">
        <x:f>IF(Q$36=$B40,$A40,"")</x:f>
      </x:c>
      <x:c r="R40" s="141" t="str">
        <x:f>IF(R$36=$B40,$A40,"")</x:f>
      </x:c>
      <x:c r="S40" s="141" t="str">
        <x:f>IF(S$36=$B40,$A40,"")</x:f>
      </x:c>
      <x:c r="T40" s="141" t="str">
        <x:f>IF(T$36=$B40,$A40,"")</x:f>
      </x:c>
      <x:c r="U40" s="141" t="str">
        <x:f>IF(U$36=$B40,$A40,"")</x:f>
      </x:c>
    </x:row>
    <x:row r="41" ht="30" customHeight="1">
      <x:c r="A41" s="150" t="str">
        <x:v>​G5</x:v>
      </x:c>
      <x:c r="B41" s="23" t="n">
        <x:f>INDEX('Master Plan'!$E$7:$E$247,MATCH($A41,'Master Plan'!$A$7:$A$247,0))</x:f>
        <x:v>10</x:v>
      </x:c>
      <x:c r="C41" s="23" t="str">
        <x:f>INDEX('Master Plan'!$D$7:$D$247,MATCH($A41,'Master Plan'!$A$7:$A$247,0))</x:f>
        <x:v>QA</x:v>
      </x:c>
      <x:c r="D41" s="27" t="str">
        <x:f>INDEX('Master Plan'!$O$7:$O$247,MATCH($A41,'Master Plan'!$A$7:$A$247,0))</x:f>
        <x:v>System, mobile, browser, accessibility, analytics, and regression testing passed</x:v>
      </x:c>
      <x:c r="E41" s="141" t="str">
        <x:f>IF(E$36=$B41,$A41,"")</x:f>
      </x:c>
      <x:c r="F41" s="141" t="str">
        <x:f>IF(F$36=$B41,$A41,"")</x:f>
      </x:c>
      <x:c r="G41" s="141" t="str">
        <x:f>IF(G$36=$B41,$A41,"")</x:f>
      </x:c>
      <x:c r="H41" s="141" t="str">
        <x:f>IF(H$36=$B41,$A41,"")</x:f>
      </x:c>
      <x:c r="I41" s="141" t="str">
        <x:f>IF(I$36=$B41,$A41,"")</x:f>
      </x:c>
      <x:c r="J41" s="141" t="str">
        <x:f>IF(J$36=$B41,$A41,"")</x:f>
      </x:c>
      <x:c r="K41" s="141" t="str">
        <x:f>IF(K$36=$B41,$A41,"")</x:f>
      </x:c>
      <x:c r="L41" s="141" t="str">
        <x:f>IF(L$36=$B41,$A41,"")</x:f>
      </x:c>
      <x:c r="M41" s="141" t="str">
        <x:f>IF(M$36=$B41,$A41,"")</x:f>
      </x:c>
      <x:c r="N41" s="141" t="str">
        <x:f>IF(N$36=$B41,$A41,"")</x:f>
        <x:v>​G5</x:v>
      </x:c>
      <x:c r="O41" s="141" t="str">
        <x:f>IF(O$36=$B41,$A41,"")</x:f>
      </x:c>
      <x:c r="P41" s="141" t="str">
        <x:f>IF(P$36=$B41,$A41,"")</x:f>
      </x:c>
      <x:c r="Q41" s="141" t="str">
        <x:f>IF(Q$36=$B41,$A41,"")</x:f>
      </x:c>
      <x:c r="R41" s="141" t="str">
        <x:f>IF(R$36=$B41,$A41,"")</x:f>
      </x:c>
      <x:c r="S41" s="141" t="str">
        <x:f>IF(S$36=$B41,$A41,"")</x:f>
      </x:c>
      <x:c r="T41" s="141" t="str">
        <x:f>IF(T$36=$B41,$A41,"")</x:f>
      </x:c>
      <x:c r="U41" s="141" t="str">
        <x:f>IF(U$36=$B41,$A41,"")</x:f>
      </x:c>
    </x:row>
    <x:row r="42" ht="30" customHeight="1">
      <x:c r="A42" s="150" t="str">
        <x:v>​G6</x:v>
      </x:c>
      <x:c r="B42" s="23" t="n">
        <x:f>INDEX('Master Plan'!$E$7:$E$247,MATCH($A42,'Master Plan'!$A$7:$A$247,0))</x:f>
        <x:v>11</x:v>
      </x:c>
      <x:c r="C42" s="23" t="str">
        <x:f>INDEX('Master Plan'!$D$7:$D$247,MATCH($A42,'Master Plan'!$A$7:$A$247,0))</x:f>
        <x:v>Product</x:v>
      </x:c>
      <x:c r="D42" s="27" t="str">
        <x:f>INDEX('Master Plan'!$O$7:$O$247,MATCH($A42,'Master Plan'!$A$7:$A$247,0))</x:f>
        <x:v>Business acceptance obtained and critical defects resolved</x:v>
      </x:c>
      <x:c r="E42" s="141" t="str">
        <x:f>IF(E$36=$B42,$A42,"")</x:f>
      </x:c>
      <x:c r="F42" s="141" t="str">
        <x:f>IF(F$36=$B42,$A42,"")</x:f>
      </x:c>
      <x:c r="G42" s="141" t="str">
        <x:f>IF(G$36=$B42,$A42,"")</x:f>
      </x:c>
      <x:c r="H42" s="141" t="str">
        <x:f>IF(H$36=$B42,$A42,"")</x:f>
      </x:c>
      <x:c r="I42" s="141" t="str">
        <x:f>IF(I$36=$B42,$A42,"")</x:f>
      </x:c>
      <x:c r="J42" s="141" t="str">
        <x:f>IF(J$36=$B42,$A42,"")</x:f>
      </x:c>
      <x:c r="K42" s="141" t="str">
        <x:f>IF(K$36=$B42,$A42,"")</x:f>
      </x:c>
      <x:c r="L42" s="141" t="str">
        <x:f>IF(L$36=$B42,$A42,"")</x:f>
      </x:c>
      <x:c r="M42" s="141" t="str">
        <x:f>IF(M$36=$B42,$A42,"")</x:f>
      </x:c>
      <x:c r="N42" s="141" t="str">
        <x:f>IF(N$36=$B42,$A42,"")</x:f>
      </x:c>
      <x:c r="O42" s="141" t="str">
        <x:f>IF(O$36=$B42,$A42,"")</x:f>
        <x:v>​G6</x:v>
      </x:c>
      <x:c r="P42" s="141" t="str">
        <x:f>IF(P$36=$B42,$A42,"")</x:f>
      </x:c>
      <x:c r="Q42" s="141" t="str">
        <x:f>IF(Q$36=$B42,$A42,"")</x:f>
      </x:c>
      <x:c r="R42" s="141" t="str">
        <x:f>IF(R$36=$B42,$A42,"")</x:f>
      </x:c>
      <x:c r="S42" s="141" t="str">
        <x:f>IF(S$36=$B42,$A42,"")</x:f>
      </x:c>
      <x:c r="T42" s="141" t="str">
        <x:f>IF(T$36=$B42,$A42,"")</x:f>
      </x:c>
      <x:c r="U42" s="141" t="str">
        <x:f>IF(U$36=$B42,$A42,"")</x:f>
      </x:c>
    </x:row>
    <x:row r="43" ht="30" customHeight="1">
      <x:c r="A43" s="150" t="str">
        <x:v>​G7</x:v>
      </x:c>
      <x:c r="B43" s="23" t="n">
        <x:f>INDEX('Master Plan'!$E$7:$E$247,MATCH($A43,'Master Plan'!$A$7:$A$247,0))</x:f>
        <x:v>13</x:v>
      </x:c>
      <x:c r="C43" s="23" t="str">
        <x:f>INDEX('Master Plan'!$D$7:$D$247,MATCH($A43,'Master Plan'!$A$7:$A$247,0))</x:f>
        <x:v>Sponsor</x:v>
      </x:c>
      <x:c r="D43" s="27" t="str">
        <x:f>INDEX('Master Plan'!$O$7:$O$247,MATCH($A43,'Master Plan'!$A$7:$A$247,0))</x:f>
        <x:v>Operations, support, analytics, marketing, monitoring, and rollback ready</x:v>
      </x:c>
      <x:c r="E43" s="141" t="str">
        <x:f>IF(E$36=$B43,$A43,"")</x:f>
      </x:c>
      <x:c r="F43" s="141" t="str">
        <x:f>IF(F$36=$B43,$A43,"")</x:f>
      </x:c>
      <x:c r="G43" s="141" t="str">
        <x:f>IF(G$36=$B43,$A43,"")</x:f>
      </x:c>
      <x:c r="H43" s="141" t="str">
        <x:f>IF(H$36=$B43,$A43,"")</x:f>
      </x:c>
      <x:c r="I43" s="141" t="str">
        <x:f>IF(I$36=$B43,$A43,"")</x:f>
      </x:c>
      <x:c r="J43" s="141" t="str">
        <x:f>IF(J$36=$B43,$A43,"")</x:f>
      </x:c>
      <x:c r="K43" s="141" t="str">
        <x:f>IF(K$36=$B43,$A43,"")</x:f>
      </x:c>
      <x:c r="L43" s="141" t="str">
        <x:f>IF(L$36=$B43,$A43,"")</x:f>
      </x:c>
      <x:c r="M43" s="141" t="str">
        <x:f>IF(M$36=$B43,$A43,"")</x:f>
      </x:c>
      <x:c r="N43" s="141" t="str">
        <x:f>IF(N$36=$B43,$A43,"")</x:f>
      </x:c>
      <x:c r="O43" s="141" t="str">
        <x:f>IF(O$36=$B43,$A43,"")</x:f>
      </x:c>
      <x:c r="P43" s="141" t="str">
        <x:f>IF(P$36=$B43,$A43,"")</x:f>
      </x:c>
      <x:c r="Q43" s="141" t="str">
        <x:f>IF(Q$36=$B43,$A43,"")</x:f>
        <x:v>​G7</x:v>
      </x:c>
      <x:c r="R43" s="141" t="str">
        <x:f>IF(R$36=$B43,$A43,"")</x:f>
      </x:c>
      <x:c r="S43" s="141" t="str">
        <x:f>IF(S$36=$B43,$A43,"")</x:f>
      </x:c>
      <x:c r="T43" s="141" t="str">
        <x:f>IF(T$36=$B43,$A43,"")</x:f>
      </x:c>
      <x:c r="U43" s="141" t="str">
        <x:f>IF(U$36=$B43,$A43,"")</x:f>
      </x:c>
    </x:row>
    <x:row r="44" ht="30" customHeight="1">
      <x:c r="A44" s="150" t="str">
        <x:v>​G8</x:v>
      </x:c>
      <x:c r="B44" s="23" t="n">
        <x:f>INDEX('Master Plan'!$E$7:$E$247,MATCH($A44,'Master Plan'!$A$7:$A$247,0))</x:f>
        <x:v>13</x:v>
      </x:c>
      <x:c r="C44" s="23" t="str">
        <x:f>INDEX('Master Plan'!$D$7:$D$247,MATCH($A44,'Master Plan'!$A$7:$A$247,0))</x:f>
        <x:v>Product</x:v>
      </x:c>
      <x:c r="D44" s="27" t="str">
        <x:f>INDEX('Master Plan'!$O$7:$O$247,MATCH($A44,'Master Plan'!$A$7:$A$247,0))</x:f>
        <x:v>Production smoke testing and acceptance complete</x:v>
      </x:c>
      <x:c r="E44" s="141" t="str">
        <x:f>IF(E$36=$B44,$A44,"")</x:f>
      </x:c>
      <x:c r="F44" s="141" t="str">
        <x:f>IF(F$36=$B44,$A44,"")</x:f>
      </x:c>
      <x:c r="G44" s="141" t="str">
        <x:f>IF(G$36=$B44,$A44,"")</x:f>
      </x:c>
      <x:c r="H44" s="141" t="str">
        <x:f>IF(H$36=$B44,$A44,"")</x:f>
      </x:c>
      <x:c r="I44" s="141" t="str">
        <x:f>IF(I$36=$B44,$A44,"")</x:f>
      </x:c>
      <x:c r="J44" s="141" t="str">
        <x:f>IF(J$36=$B44,$A44,"")</x:f>
      </x:c>
      <x:c r="K44" s="141" t="str">
        <x:f>IF(K$36=$B44,$A44,"")</x:f>
      </x:c>
      <x:c r="L44" s="141" t="str">
        <x:f>IF(L$36=$B44,$A44,"")</x:f>
      </x:c>
      <x:c r="M44" s="141" t="str">
        <x:f>IF(M$36=$B44,$A44,"")</x:f>
      </x:c>
      <x:c r="N44" s="141" t="str">
        <x:f>IF(N$36=$B44,$A44,"")</x:f>
      </x:c>
      <x:c r="O44" s="141" t="str">
        <x:f>IF(O$36=$B44,$A44,"")</x:f>
      </x:c>
      <x:c r="P44" s="141" t="str">
        <x:f>IF(P$36=$B44,$A44,"")</x:f>
      </x:c>
      <x:c r="Q44" s="141" t="str">
        <x:f>IF(Q$36=$B44,$A44,"")</x:f>
        <x:v>​G8</x:v>
      </x:c>
      <x:c r="R44" s="141" t="str">
        <x:f>IF(R$36=$B44,$A44,"")</x:f>
      </x:c>
      <x:c r="S44" s="141" t="str">
        <x:f>IF(S$36=$B44,$A44,"")</x:f>
      </x:c>
      <x:c r="T44" s="141" t="str">
        <x:f>IF(T$36=$B44,$A44,"")</x:f>
      </x:c>
      <x:c r="U44" s="141" t="str">
        <x:f>IF(U$36=$B44,$A44,"")</x:f>
      </x:c>
    </x:row>
    <x:row r="45" ht="30" customHeight="1">
      <x:c r="A45" s="150" t="str">
        <x:v>​G9</x:v>
      </x:c>
      <x:c r="B45" s="23" t="n">
        <x:f>INDEX('Master Plan'!$E$7:$E$247,MATCH($A45,'Master Plan'!$A$7:$A$247,0))</x:f>
        <x:v>14</x:v>
      </x:c>
      <x:c r="C45" s="23" t="str">
        <x:f>INDEX('Master Plan'!$D$7:$D$247,MATCH($A45,'Master Plan'!$A$7:$A$247,0))</x:f>
        <x:v>Sponsor</x:v>
      </x:c>
      <x:c r="D45" s="27" t="str">
        <x:f>INDEX('Master Plan'!$O$7:$O$247,MATCH($A45,'Master Plan'!$A$7:$A$247,0))</x:f>
        <x:v>Soft launch stable enough to begin broad promotion</x:v>
      </x:c>
      <x:c r="E45" s="141" t="str">
        <x:f>IF(E$36=$B45,$A45,"")</x:f>
      </x:c>
      <x:c r="F45" s="141" t="str">
        <x:f>IF(F$36=$B45,$A45,"")</x:f>
      </x:c>
      <x:c r="G45" s="141" t="str">
        <x:f>IF(G$36=$B45,$A45,"")</x:f>
      </x:c>
      <x:c r="H45" s="141" t="str">
        <x:f>IF(H$36=$B45,$A45,"")</x:f>
      </x:c>
      <x:c r="I45" s="141" t="str">
        <x:f>IF(I$36=$B45,$A45,"")</x:f>
      </x:c>
      <x:c r="J45" s="141" t="str">
        <x:f>IF(J$36=$B45,$A45,"")</x:f>
      </x:c>
      <x:c r="K45" s="141" t="str">
        <x:f>IF(K$36=$B45,$A45,"")</x:f>
      </x:c>
      <x:c r="L45" s="141" t="str">
        <x:f>IF(L$36=$B45,$A45,"")</x:f>
      </x:c>
      <x:c r="M45" s="141" t="str">
        <x:f>IF(M$36=$B45,$A45,"")</x:f>
      </x:c>
      <x:c r="N45" s="141" t="str">
        <x:f>IF(N$36=$B45,$A45,"")</x:f>
      </x:c>
      <x:c r="O45" s="141" t="str">
        <x:f>IF(O$36=$B45,$A45,"")</x:f>
      </x:c>
      <x:c r="P45" s="141" t="str">
        <x:f>IF(P$36=$B45,$A45,"")</x:f>
      </x:c>
      <x:c r="Q45" s="141" t="str">
        <x:f>IF(Q$36=$B45,$A45,"")</x:f>
      </x:c>
      <x:c r="R45" s="141" t="str">
        <x:f>IF(R$36=$B45,$A45,"")</x:f>
        <x:v>​G9</x:v>
      </x:c>
      <x:c r="S45" s="141" t="str">
        <x:f>IF(S$36=$B45,$A45,"")</x:f>
      </x:c>
      <x:c r="T45" s="141" t="str">
        <x:f>IF(T$36=$B45,$A45,"")</x:f>
      </x:c>
      <x:c r="U45" s="141" t="str">
        <x:f>IF(U$36=$B45,$A45,"")</x:f>
      </x:c>
    </x:row>
    <x:row r="46" ht="30" customHeight="1">
      <x:c r="A46" s="151" t="str">
        <x:v>​G10</x:v>
      </x:c>
      <x:c r="B46" s="67" t="n">
        <x:f>INDEX('Master Plan'!$E$7:$E$247,MATCH($A46,'Master Plan'!$A$7:$A$247,0))</x:f>
        <x:v>17</x:v>
      </x:c>
      <x:c r="C46" s="67" t="str">
        <x:f>INDEX('Master Plan'!$D$7:$D$247,MATCH($A46,'Master Plan'!$A$7:$A$247,0))</x:f>
        <x:v>Sponsor</x:v>
      </x:c>
      <x:c r="D46" s="68" t="str">
        <x:f>INDEX('Master Plan'!$O$7:$O$247,MATCH($A46,'Master Plan'!$A$7:$A$247,0))</x:f>
        <x:v>Hypercare complete and ownership transitioned to business-as-usual support</x:v>
      </x:c>
      <x:c r="E46" s="142" t="str">
        <x:f>IF(E$36=$B46,$A46,"")</x:f>
      </x:c>
      <x:c r="F46" s="142" t="str">
        <x:f>IF(F$36=$B46,$A46,"")</x:f>
      </x:c>
      <x:c r="G46" s="142" t="str">
        <x:f>IF(G$36=$B46,$A46,"")</x:f>
      </x:c>
      <x:c r="H46" s="142" t="str">
        <x:f>IF(H$36=$B46,$A46,"")</x:f>
      </x:c>
      <x:c r="I46" s="142" t="str">
        <x:f>IF(I$36=$B46,$A46,"")</x:f>
      </x:c>
      <x:c r="J46" s="142" t="str">
        <x:f>IF(J$36=$B46,$A46,"")</x:f>
      </x:c>
      <x:c r="K46" s="142" t="str">
        <x:f>IF(K$36=$B46,$A46,"")</x:f>
      </x:c>
      <x:c r="L46" s="142" t="str">
        <x:f>IF(L$36=$B46,$A46,"")</x:f>
      </x:c>
      <x:c r="M46" s="142" t="str">
        <x:f>IF(M$36=$B46,$A46,"")</x:f>
      </x:c>
      <x:c r="N46" s="142" t="str">
        <x:f>IF(N$36=$B46,$A46,"")</x:f>
      </x:c>
      <x:c r="O46" s="142" t="str">
        <x:f>IF(O$36=$B46,$A46,"")</x:f>
      </x:c>
      <x:c r="P46" s="142" t="str">
        <x:f>IF(P$36=$B46,$A46,"")</x:f>
      </x:c>
      <x:c r="Q46" s="142" t="str">
        <x:f>IF(Q$36=$B46,$A46,"")</x:f>
      </x:c>
      <x:c r="R46" s="142" t="str">
        <x:f>IF(R$36=$B46,$A46,"")</x:f>
      </x:c>
      <x:c r="S46" s="142" t="str">
        <x:f>IF(S$36=$B46,$A46,"")</x:f>
      </x:c>
      <x:c r="T46" s="142" t="str">
        <x:f>IF(T$36=$B46,$A46,"")</x:f>
      </x:c>
      <x:c r="U46" s="142" t="str">
        <x:f>IF(U$36=$B46,$A46,"")</x:f>
        <x:v>​G10</x:v>
      </x:c>
    </x:row>
  </x:sheetData>
  <x:conditionalFormatting sqref="E6:U6">
    <x:cfRule type="expression" dxfId="68" priority="1">
      <x:formula>AND(E$5&gt;=$B6,E$5&lt;=$C6)</x:formula>
    </x:cfRule>
  </x:conditionalFormatting>
  <x:conditionalFormatting sqref="E7:U7">
    <x:cfRule type="expression" dxfId="69" priority="2">
      <x:formula>AND(E$5&gt;=$B7,E$5&lt;=$C7)</x:formula>
    </x:cfRule>
  </x:conditionalFormatting>
  <x:conditionalFormatting sqref="E8:U8">
    <x:cfRule type="expression" dxfId="70" priority="3">
      <x:formula>AND(E$5&gt;=$B8,E$5&lt;=$C8)</x:formula>
    </x:cfRule>
  </x:conditionalFormatting>
  <x:conditionalFormatting sqref="E9:U9">
    <x:cfRule type="expression" dxfId="71" priority="4">
      <x:formula>AND(E$5&gt;=$B9,E$5&lt;=$C9)</x:formula>
    </x:cfRule>
  </x:conditionalFormatting>
  <x:conditionalFormatting sqref="E10:U10">
    <x:cfRule type="expression" dxfId="72" priority="5">
      <x:formula>AND(E$5&gt;=$B10,E$5&lt;=$C10)</x:formula>
    </x:cfRule>
  </x:conditionalFormatting>
  <x:conditionalFormatting sqref="E15:U15">
    <x:cfRule type="expression" dxfId="73" priority="6">
      <x:formula>AND(E$14&gt;=$B15,E$14&lt;=$C15)</x:formula>
    </x:cfRule>
  </x:conditionalFormatting>
  <x:conditionalFormatting sqref="E16:U16">
    <x:cfRule type="expression" dxfId="74" priority="7">
      <x:formula>AND(E$14&gt;=$B16,E$14&lt;=$C16)</x:formula>
    </x:cfRule>
  </x:conditionalFormatting>
  <x:conditionalFormatting sqref="E17:U17">
    <x:cfRule type="expression" dxfId="75" priority="8">
      <x:formula>AND(E$14&gt;=$B17,E$14&lt;=$C17)</x:formula>
    </x:cfRule>
  </x:conditionalFormatting>
  <x:conditionalFormatting sqref="E18:U18">
    <x:cfRule type="expression" dxfId="76" priority="9">
      <x:formula>AND(E$14&gt;=$B18,E$14&lt;=$C18)</x:formula>
    </x:cfRule>
  </x:conditionalFormatting>
  <x:conditionalFormatting sqref="E19:U19">
    <x:cfRule type="expression" dxfId="77" priority="10">
      <x:formula>AND(E$14&gt;=$B19,E$14&lt;=$C19)</x:formula>
    </x:cfRule>
  </x:conditionalFormatting>
  <x:conditionalFormatting sqref="E20:U20">
    <x:cfRule type="expression" dxfId="78" priority="11">
      <x:formula>AND(E$14&gt;=$B20,E$14&lt;=$C20)</x:formula>
    </x:cfRule>
  </x:conditionalFormatting>
  <x:conditionalFormatting sqref="E21:U21">
    <x:cfRule type="expression" dxfId="79" priority="12">
      <x:formula>AND(E$14&gt;=$B21,E$14&lt;=$C21)</x:formula>
    </x:cfRule>
  </x:conditionalFormatting>
  <x:conditionalFormatting sqref="E22:U22">
    <x:cfRule type="expression" dxfId="80" priority="13">
      <x:formula>AND(E$14&gt;=$B22,E$14&lt;=$C22)</x:formula>
    </x:cfRule>
  </x:conditionalFormatting>
  <x:conditionalFormatting sqref="E23:U23">
    <x:cfRule type="expression" dxfId="81" priority="14">
      <x:formula>AND(E$14&gt;=$B23,E$14&lt;=$C23)</x:formula>
    </x:cfRule>
  </x:conditionalFormatting>
  <x:conditionalFormatting sqref="E24:U24">
    <x:cfRule type="expression" dxfId="82" priority="15">
      <x:formula>AND(E$14&gt;=$B24,E$14&lt;=$C24)</x:formula>
    </x:cfRule>
  </x:conditionalFormatting>
  <x:conditionalFormatting sqref="E25:U25">
    <x:cfRule type="expression" dxfId="83" priority="16">
      <x:formula>AND(E$14&gt;=$B25,E$14&lt;=$C25)</x:formula>
    </x:cfRule>
  </x:conditionalFormatting>
  <x:conditionalFormatting sqref="E26:U26">
    <x:cfRule type="expression" dxfId="84" priority="17">
      <x:formula>AND(E$14&gt;=$B26,E$14&lt;=$C26)</x:formula>
    </x:cfRule>
  </x:conditionalFormatting>
  <x:conditionalFormatting sqref="E27:U27">
    <x:cfRule type="expression" dxfId="85" priority="18">
      <x:formula>AND(E$14&gt;=$B27,E$14&lt;=$C27)</x:formula>
    </x:cfRule>
  </x:conditionalFormatting>
  <x:conditionalFormatting sqref="E28:U28">
    <x:cfRule type="expression" dxfId="86" priority="19">
      <x:formula>AND(E$14&gt;=$B28,E$14&lt;=$C28)</x:formula>
    </x:cfRule>
  </x:conditionalFormatting>
  <x:conditionalFormatting sqref="E29:U29">
    <x:cfRule type="expression" dxfId="87" priority="20">
      <x:formula>AND(E$14&gt;=$B29,E$14&lt;=$C29)</x:formula>
    </x:cfRule>
  </x:conditionalFormatting>
  <x:conditionalFormatting sqref="E30:U30">
    <x:cfRule type="expression" dxfId="88" priority="21">
      <x:formula>AND(E$14&gt;=$B30,E$14&lt;=$C30)</x:formula>
    </x:cfRule>
  </x:conditionalFormatting>
  <x:conditionalFormatting sqref="E31:U31">
    <x:cfRule type="expression" dxfId="89" priority="22">
      <x:formula>AND(E$14&gt;=$B31,E$14&lt;=$C31)</x:formula>
    </x:cfRule>
  </x:conditionalFormatting>
  <x:conditionalFormatting sqref="E32:U32">
    <x:cfRule type="expression" dxfId="90" priority="23">
      <x:formula>AND(E$14&gt;=$B32,E$14&lt;=$C32)</x:formula>
    </x:cfRule>
  </x:conditionalFormatting>
  <x:conditionalFormatting sqref="E37:U37">
    <x:cfRule type="expression" dxfId="91" priority="24">
      <x:formula>E$36=$B37</x:formula>
    </x:cfRule>
  </x:conditionalFormatting>
  <x:conditionalFormatting sqref="E38:U38">
    <x:cfRule type="expression" dxfId="92" priority="25">
      <x:formula>E$36=$B38</x:formula>
    </x:cfRule>
  </x:conditionalFormatting>
  <x:conditionalFormatting sqref="E39:U39">
    <x:cfRule type="expression" dxfId="93" priority="26">
      <x:formula>E$36=$B39</x:formula>
    </x:cfRule>
  </x:conditionalFormatting>
  <x:conditionalFormatting sqref="E40:U40">
    <x:cfRule type="expression" dxfId="94" priority="27">
      <x:formula>E$36=$B40</x:formula>
    </x:cfRule>
  </x:conditionalFormatting>
  <x:conditionalFormatting sqref="E41:U41">
    <x:cfRule type="expression" dxfId="95" priority="28">
      <x:formula>E$36=$B41</x:formula>
    </x:cfRule>
  </x:conditionalFormatting>
  <x:conditionalFormatting sqref="E42:U42">
    <x:cfRule type="expression" dxfId="96" priority="29">
      <x:formula>E$36=$B42</x:formula>
    </x:cfRule>
  </x:conditionalFormatting>
  <x:conditionalFormatting sqref="E43:U43">
    <x:cfRule type="expression" dxfId="97" priority="30">
      <x:formula>E$36=$B43</x:formula>
    </x:cfRule>
  </x:conditionalFormatting>
  <x:conditionalFormatting sqref="E44:U44">
    <x:cfRule type="expression" dxfId="98" priority="31">
      <x:formula>E$36=$B44</x:formula>
    </x:cfRule>
  </x:conditionalFormatting>
  <x:conditionalFormatting sqref="E45:U45">
    <x:cfRule type="expression" dxfId="99" priority="32">
      <x:formula>E$36=$B45</x:formula>
    </x:cfRule>
  </x:conditionalFormatting>
  <x:conditionalFormatting sqref="E46:U46">
    <x:cfRule type="expression" dxfId="100" priority="33">
      <x:formula>E$36=$B46</x:formula>
    </x:cfRule>
  </x:conditionalFormatting>
  <x:conditionalFormatting sqref="E5:U5">
    <x:cfRule type="expression" dxfId="101" priority="34">
      <x:formula>E$5='Overview'!$B$8</x:formula>
    </x:cfRule>
  </x:conditionalFormatting>
  <x:conditionalFormatting sqref="E14:U14">
    <x:cfRule type="expression" dxfId="102" priority="35">
      <x:formula>E$14='Overview'!$B$8</x:formula>
    </x:cfRule>
  </x:conditionalFormatting>
  <x:conditionalFormatting sqref="E36:U36">
    <x:cfRule type="expression" dxfId="103" priority="36">
      <x:formula>E$36='Overview'!$B$8</x:formula>
    </x:cfRule>
  </x:conditionalFormatting>
  <x:pageMargins left="0.7" right="0.7" top="0.75" bottom="0.75" header="0.3" footer="0.3"/>
</x:worksheet>
</file>